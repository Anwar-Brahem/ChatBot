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kandrani\Desktop\Summer Intership\Final Chat Bot 4\"/>
    </mc:Choice>
  </mc:AlternateContent>
  <bookViews>
    <workbookView xWindow="1170" yWindow="1170" windowWidth="14400" windowHeight="8145"/>
  </bookViews>
  <sheets>
    <sheet name="Template" sheetId="3" r:id="rId1"/>
    <sheet name="icons" sheetId="4" r:id="rId2"/>
    <sheet name="Revision History" sheetId="7" r:id="rId3"/>
    <sheet name="Translation" sheetId="6" r:id="rId4"/>
  </sheets>
  <externalReferences>
    <externalReference r:id="rId5"/>
  </externalReferences>
  <definedNames>
    <definedName name="_xlnm._FilterDatabase" localSheetId="0" hidden="1">Template!$AN$1:$AY$2</definedName>
    <definedName name="Dico">[1]Dico!$A$1:$J$65536</definedName>
    <definedName name="Lang">[1]Dico!$AB$1</definedName>
    <definedName name="Lang2">[1]Dico!$AD$1</definedName>
    <definedName name="Print_Area" localSheetId="0">Template!$A$1:$AY$65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6" l="1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3" i="6"/>
  <c r="AR30" i="3" l="1"/>
  <c r="G37" i="3" l="1"/>
  <c r="AL36" i="3"/>
  <c r="AL4" i="3"/>
  <c r="AM36" i="3" s="1"/>
  <c r="AT65" i="3"/>
  <c r="AO65" i="3"/>
  <c r="AK65" i="3"/>
  <c r="AD65" i="3"/>
  <c r="X65" i="3"/>
  <c r="S65" i="3"/>
  <c r="M65" i="3"/>
  <c r="G65" i="3"/>
  <c r="A65" i="3"/>
  <c r="AN36" i="3"/>
  <c r="AN35" i="3"/>
  <c r="G38" i="3"/>
  <c r="AF37" i="3"/>
  <c r="AM4" i="3" l="1"/>
  <c r="AR31" i="3"/>
  <c r="AR32" i="3"/>
  <c r="F39" i="3" l="1"/>
  <c r="A36" i="3"/>
  <c r="A39" i="3" l="1"/>
  <c r="M64" i="3"/>
  <c r="AT64" i="3"/>
  <c r="AD64" i="3"/>
  <c r="D39" i="3"/>
  <c r="AQ39" i="3"/>
  <c r="A64" i="3"/>
  <c r="AH39" i="3"/>
  <c r="X39" i="3"/>
  <c r="AO64" i="3"/>
  <c r="G64" i="3"/>
  <c r="X64" i="3"/>
  <c r="AK64" i="3"/>
  <c r="S64" i="3"/>
  <c r="AG39" i="3"/>
  <c r="O39" i="3"/>
  <c r="L1" i="7"/>
  <c r="AI25" i="3" l="1"/>
  <c r="A5" i="3" l="1"/>
  <c r="A6" i="3"/>
  <c r="AA5" i="3"/>
  <c r="A7" i="3"/>
  <c r="A8" i="3"/>
  <c r="G8" i="3"/>
  <c r="L8" i="3"/>
  <c r="Q8" i="3"/>
  <c r="V8" i="3"/>
  <c r="AA8" i="3"/>
  <c r="AF8" i="3"/>
  <c r="AK8" i="3"/>
  <c r="AP8" i="3"/>
  <c r="AU8" i="3"/>
  <c r="A13" i="3"/>
  <c r="AP13" i="3"/>
  <c r="AP14" i="3"/>
  <c r="AV13" i="3"/>
  <c r="AX14" i="3"/>
  <c r="AP15" i="3"/>
  <c r="AP16" i="3"/>
  <c r="AU16" i="3"/>
  <c r="AP17" i="3"/>
  <c r="AU17" i="3"/>
  <c r="A18" i="3"/>
  <c r="A25" i="3"/>
  <c r="K25" i="3"/>
  <c r="Q25" i="3"/>
  <c r="W25" i="3"/>
  <c r="AC25" i="3"/>
  <c r="A26" i="3"/>
  <c r="A27" i="3"/>
  <c r="H27" i="3"/>
  <c r="H28" i="3"/>
  <c r="AJ27" i="3"/>
  <c r="AR27" i="3"/>
  <c r="C4" i="7"/>
  <c r="B7" i="7"/>
  <c r="D7" i="7"/>
  <c r="E7" i="7"/>
  <c r="H7" i="7"/>
  <c r="AN1" i="3"/>
  <c r="A38" i="3" l="1"/>
  <c r="AA37" i="3"/>
  <c r="A37" i="3"/>
  <c r="C1" i="7"/>
  <c r="F1" i="3"/>
  <c r="AJ28" i="3"/>
  <c r="AJ30" i="3"/>
  <c r="AJ31" i="3"/>
  <c r="AJ32" i="3"/>
  <c r="AR28" i="3"/>
  <c r="AJ29" i="3"/>
  <c r="AR29" i="3"/>
  <c r="AV14" i="3"/>
  <c r="AX13" i="3"/>
  <c r="F33" i="3" l="1"/>
  <c r="J33" i="3"/>
</calcChain>
</file>

<file path=xl/sharedStrings.xml><?xml version="1.0" encoding="utf-8"?>
<sst xmlns="http://schemas.openxmlformats.org/spreadsheetml/2006/main" count="452" uniqueCount="412">
  <si>
    <t>N° DT</t>
  </si>
  <si>
    <t>Date:</t>
  </si>
  <si>
    <t>Date</t>
  </si>
  <si>
    <t>Signature</t>
  </si>
  <si>
    <t>Poste de travail :</t>
  </si>
  <si>
    <t>Produit:</t>
  </si>
  <si>
    <t>Activité:</t>
  </si>
  <si>
    <t>Chaussures de sécurité</t>
  </si>
  <si>
    <t>Tenue de travail</t>
  </si>
  <si>
    <t>Protection de la tête</t>
  </si>
  <si>
    <t>Gants</t>
  </si>
  <si>
    <t>Lunettes</t>
  </si>
  <si>
    <t>Protection auditive</t>
  </si>
  <si>
    <t>Matière dangereuse</t>
  </si>
  <si>
    <t>Recyclage</t>
  </si>
  <si>
    <t>Panoply:</t>
  </si>
  <si>
    <t>Pictogrammes utilisés :</t>
  </si>
  <si>
    <t>Sujet de révision :</t>
  </si>
  <si>
    <t>Étapes principales</t>
  </si>
  <si>
    <t>Points clés (Comment ?)</t>
  </si>
  <si>
    <t>Équipement de protection personnel (PPE)</t>
  </si>
  <si>
    <t>Piece zone:</t>
  </si>
  <si>
    <t>Gilet</t>
  </si>
  <si>
    <t>Masque</t>
  </si>
  <si>
    <t>Qu'est-ce qui est interdit et pourquoi ? Comment réagir ?</t>
  </si>
  <si>
    <t>Produits et outils utilisés (rajouter les référence)</t>
  </si>
  <si>
    <t>en secouant</t>
  </si>
  <si>
    <t>Description du mode opératoire: avec détails écrit</t>
  </si>
  <si>
    <t>T/C</t>
  </si>
  <si>
    <t>Raison du point clé (Pourquoi ?) : en photos ou schéma et OK/NOK si possible</t>
  </si>
  <si>
    <t>Complément du mode opératoire:
avec photos si besoin</t>
  </si>
  <si>
    <t>Caractéristique spéciale (CS) : caractéristique (produit où process) liée à la sécurité ou aux règles légales, fonction de la pièce. Aucun écart autorisé.</t>
  </si>
  <si>
    <t>A</t>
  </si>
  <si>
    <t>Creation</t>
  </si>
  <si>
    <t>Français</t>
  </si>
  <si>
    <t>English</t>
  </si>
  <si>
    <t>Current selection</t>
  </si>
  <si>
    <t>Languages</t>
  </si>
  <si>
    <t>Langue</t>
  </si>
  <si>
    <t>Language</t>
  </si>
  <si>
    <t>Slovak</t>
  </si>
  <si>
    <t>BONTEMPS Rémi</t>
  </si>
  <si>
    <t>B</t>
  </si>
  <si>
    <t>Revision history</t>
  </si>
  <si>
    <t>Historique des révisions</t>
  </si>
  <si>
    <t>Indice</t>
  </si>
  <si>
    <t>index</t>
  </si>
  <si>
    <t>Pilote de la modification</t>
  </si>
  <si>
    <t>modification pilot</t>
  </si>
  <si>
    <t>Description de la modification</t>
  </si>
  <si>
    <t>Modification description</t>
  </si>
  <si>
    <t>Template</t>
  </si>
  <si>
    <t>Oui</t>
  </si>
  <si>
    <t>Non</t>
  </si>
  <si>
    <t>Couleurs de zonage :</t>
  </si>
  <si>
    <t>A - Très visible</t>
  </si>
  <si>
    <t>B - Visible</t>
  </si>
  <si>
    <t>C - Peut-être visible</t>
  </si>
  <si>
    <t>D - Invisible</t>
  </si>
  <si>
    <t>Créé par :</t>
  </si>
  <si>
    <t>Date :</t>
  </si>
  <si>
    <t>Signature :</t>
  </si>
  <si>
    <t>Révision :</t>
  </si>
  <si>
    <t>Création de documents :</t>
  </si>
  <si>
    <t>Validé - Production :</t>
  </si>
  <si>
    <t>Validé - Qualité :</t>
  </si>
  <si>
    <t>N° Etape Principale :</t>
  </si>
  <si>
    <t>CP/CS :</t>
  </si>
  <si>
    <t>Work station:</t>
  </si>
  <si>
    <t>Activity:</t>
  </si>
  <si>
    <t>Product:</t>
  </si>
  <si>
    <t>Personal protection equipment (PPE)</t>
  </si>
  <si>
    <t>Safety shoes</t>
  </si>
  <si>
    <t>Work clothes</t>
  </si>
  <si>
    <t>Head protection</t>
  </si>
  <si>
    <t>Gloves</t>
  </si>
  <si>
    <t>Reflex Vest</t>
  </si>
  <si>
    <t>Glasses</t>
  </si>
  <si>
    <t>Ear protection</t>
  </si>
  <si>
    <t>Resperator</t>
  </si>
  <si>
    <t>Dangerous Material</t>
  </si>
  <si>
    <t>Recycling</t>
  </si>
  <si>
    <t>Special regulations - What is forbidden and why? How to manage abnormalities?</t>
  </si>
  <si>
    <t>Boundary samples:</t>
  </si>
  <si>
    <t>Zoning part:</t>
  </si>
  <si>
    <t>Yes</t>
  </si>
  <si>
    <t>No</t>
  </si>
  <si>
    <t>Zoning colors</t>
  </si>
  <si>
    <t>A - higly visible</t>
  </si>
  <si>
    <t>B- Visible</t>
  </si>
  <si>
    <t>C - maybe visible</t>
  </si>
  <si>
    <t>D- Not visible</t>
  </si>
  <si>
    <t>Used materials (reference)</t>
  </si>
  <si>
    <t>Used pictograms:</t>
  </si>
  <si>
    <t>by movement</t>
  </si>
  <si>
    <t>Special characteristic (SC): characteristic (product or process), which is related to safety or regulatory rules, function of part. No deviation alowed.</t>
  </si>
  <si>
    <t>Revision :</t>
  </si>
  <si>
    <t>Revision subject:</t>
  </si>
  <si>
    <t>Document creation</t>
  </si>
  <si>
    <t>Created by:</t>
  </si>
  <si>
    <t>Validation - Production</t>
  </si>
  <si>
    <t>Validation - Quality</t>
  </si>
  <si>
    <t>Main steps:</t>
  </si>
  <si>
    <t>Key points (How?)</t>
  </si>
  <si>
    <t>Main step</t>
  </si>
  <si>
    <t>CP/SC</t>
  </si>
  <si>
    <t>Job description : (What?) detail</t>
  </si>
  <si>
    <t>Job description (What?) pictures if needed</t>
  </si>
  <si>
    <t>C/T</t>
  </si>
  <si>
    <t>key points reason (Why?) : Pictures, OK/NOK</t>
  </si>
  <si>
    <t>STANDARD OPERATION SHEET
ANALYSIS (SOS-A)</t>
  </si>
  <si>
    <t>jazyk</t>
  </si>
  <si>
    <t>Pracovisko:</t>
  </si>
  <si>
    <t>Činnosť:</t>
  </si>
  <si>
    <t>Výrobok:</t>
  </si>
  <si>
    <t>Ochranné pracovné pomôcky</t>
  </si>
  <si>
    <t>Pracovná obuv</t>
  </si>
  <si>
    <t>Pracovný odev</t>
  </si>
  <si>
    <t>Ochrana hlavy</t>
  </si>
  <si>
    <t>Rukavice</t>
  </si>
  <si>
    <t>Reflexná vesta</t>
  </si>
  <si>
    <t>Okuliare</t>
  </si>
  <si>
    <t>Ochrana sluchu</t>
  </si>
  <si>
    <t>Respirátor</t>
  </si>
  <si>
    <t>Nebezpečný materiál</t>
  </si>
  <si>
    <t>Recyklácia</t>
  </si>
  <si>
    <t>Zvláštne predpisy - Čo je zakázané a prečo? Čo robiť v prípade abnormalít?</t>
  </si>
  <si>
    <t>Tabuľa nepodarkov:</t>
  </si>
  <si>
    <t>Zonačný kus:</t>
  </si>
  <si>
    <t>áno</t>
  </si>
  <si>
    <t>nie</t>
  </si>
  <si>
    <t>Označenie zón</t>
  </si>
  <si>
    <t>A - veľmi viditeľná</t>
  </si>
  <si>
    <t>B - viditeľná</t>
  </si>
  <si>
    <t>C - možno viditeľná</t>
  </si>
  <si>
    <t>D - neviditeľná</t>
  </si>
  <si>
    <t xml:space="preserve">Používaný materiál: </t>
  </si>
  <si>
    <t>Použité piktogramy:</t>
  </si>
  <si>
    <t>Pohybom</t>
  </si>
  <si>
    <t xml:space="preserve">  Špeciálna charakteristika (CS): charakteristika, ktorá sa dotýka bezpečnosti / zákonných predpisov, práceschopnosti, funkcie, výkonu výrobku. Nemôže byť schválená žiadna výnimka.</t>
  </si>
  <si>
    <t>Revízia:</t>
  </si>
  <si>
    <t>Predmet revízie:</t>
  </si>
  <si>
    <t>Vytvoril</t>
  </si>
  <si>
    <t>Schválil - Výroba</t>
  </si>
  <si>
    <t>Vytvorenie dokumentu</t>
  </si>
  <si>
    <t>Schválil - Kvalita</t>
  </si>
  <si>
    <t>Dátum</t>
  </si>
  <si>
    <t>Podpis</t>
  </si>
  <si>
    <t>Krok</t>
  </si>
  <si>
    <t>Popis činnosti (Čo?): 
Detaily</t>
  </si>
  <si>
    <t>Popis činnosti (Čo?): 
Obrázok ak je potrebné</t>
  </si>
  <si>
    <t>Hlavné kroky</t>
  </si>
  <si>
    <t>Klúčové body činnosti (Ako?)</t>
  </si>
  <si>
    <t>Dóvod klúčového bodu (Prečo?): Obrázky, OK/NOK</t>
  </si>
  <si>
    <t>História revízií</t>
  </si>
  <si>
    <t>nápoveda</t>
  </si>
  <si>
    <t>Zmeniť vodiča</t>
  </si>
  <si>
    <t>Popis zmeny</t>
  </si>
  <si>
    <t>Aspect</t>
  </si>
  <si>
    <t>aspekt</t>
  </si>
  <si>
    <t>Tactile</t>
  </si>
  <si>
    <t>hmatový</t>
  </si>
  <si>
    <t>Bruit</t>
  </si>
  <si>
    <t>Noise</t>
  </si>
  <si>
    <t>hluk</t>
  </si>
  <si>
    <t>Mesure</t>
  </si>
  <si>
    <t>Measure</t>
  </si>
  <si>
    <t>opatrenie</t>
  </si>
  <si>
    <t>Addition of multilingual choice list and pictograms update</t>
  </si>
  <si>
    <t>STANDARD OPERATION SHEET
 ANALYSIS (SOS-A)</t>
  </si>
  <si>
    <t>Deutsch</t>
  </si>
  <si>
    <t>Sprache</t>
  </si>
  <si>
    <t>Arbeitsplatz:</t>
  </si>
  <si>
    <t>Aktivität:</t>
  </si>
  <si>
    <t>Produkt:</t>
  </si>
  <si>
    <t>Persönliche Schutzausrüstung (PSA)</t>
  </si>
  <si>
    <t>Sicherheitsschuhe</t>
  </si>
  <si>
    <t>Arbeitskleidung</t>
  </si>
  <si>
    <t>Kopfschutz</t>
  </si>
  <si>
    <t>Handschuhe</t>
  </si>
  <si>
    <t>Warnweste</t>
  </si>
  <si>
    <t>Brille</t>
  </si>
  <si>
    <t>Gehörschutz</t>
  </si>
  <si>
    <t>Maske</t>
  </si>
  <si>
    <t>Gefährliches Material</t>
  </si>
  <si>
    <t>Besondere Regelungen - Was ist verboten und warum? Wie geht man mit Abweichungen um?</t>
  </si>
  <si>
    <t>Grenzmuster:</t>
  </si>
  <si>
    <t>Sichtteil:</t>
  </si>
  <si>
    <t>Ja</t>
  </si>
  <si>
    <t>Nein</t>
  </si>
  <si>
    <t>Sichtbarkeit:</t>
  </si>
  <si>
    <t>A - gut sichtbar</t>
  </si>
  <si>
    <t>B - sichtbar</t>
  </si>
  <si>
    <t>C - vielleicht sichtbar</t>
  </si>
  <si>
    <t>D - nicht sichtbar</t>
  </si>
  <si>
    <t>Verwendete Materialien (Hilfsmittel):</t>
  </si>
  <si>
    <t>Verwendete Piktogramme:</t>
  </si>
  <si>
    <t>Ansicht</t>
  </si>
  <si>
    <t>Taktil</t>
  </si>
  <si>
    <t>Geräusch</t>
  </si>
  <si>
    <t>durch Bewegung</t>
  </si>
  <si>
    <t>Messung</t>
  </si>
  <si>
    <t>Besonderes Merkmal (BM): Merkmal (Produkt oder Prozess), das sich auf Sicherheits- oder Regulierungsvorschriften, Funktion des Teils bezieht. Keine Abweichung erlaubt.</t>
  </si>
  <si>
    <t>Revision</t>
  </si>
  <si>
    <t>Art der Änderung:</t>
  </si>
  <si>
    <t>Erstellung des Dokumentes:</t>
  </si>
  <si>
    <t>Erstellt von:</t>
  </si>
  <si>
    <t>Validierung - Produktion</t>
  </si>
  <si>
    <t>Validierung - Qualität</t>
  </si>
  <si>
    <t>Datum:</t>
  </si>
  <si>
    <t>Unterschrift</t>
  </si>
  <si>
    <t>Haupt-schritt</t>
  </si>
  <si>
    <t>BM/SC</t>
  </si>
  <si>
    <t>Arbeitsschritt: (Was?) Details</t>
  </si>
  <si>
    <t>Arbeitsschritt (Was?) Bilder falls erforderlich</t>
  </si>
  <si>
    <t>Hauptschritte:</t>
  </si>
  <si>
    <t>ZZ</t>
  </si>
  <si>
    <t>Schlüsselpunkte (Wie?):</t>
  </si>
  <si>
    <t>Grund für Schlüsselpunkte (Warum?): Bilder, OK / NOK</t>
  </si>
  <si>
    <t>Änderungshistorie</t>
  </si>
  <si>
    <t>Datum</t>
  </si>
  <si>
    <t>Index</t>
  </si>
  <si>
    <t>Geändert durch</t>
  </si>
  <si>
    <t>Beschreibung der Änderung</t>
  </si>
  <si>
    <t>C</t>
  </si>
  <si>
    <t>Adding German language</t>
  </si>
  <si>
    <t>D</t>
  </si>
  <si>
    <t>PREZEAU Clément</t>
  </si>
  <si>
    <t>Correction of formula</t>
  </si>
  <si>
    <t>Ajouter une page au SOS</t>
  </si>
  <si>
    <t>Add a page to the SOS</t>
  </si>
  <si>
    <t>Füge eine Seite zum SOS hinzu</t>
  </si>
  <si>
    <t>Pridajte stranu do SOS</t>
  </si>
  <si>
    <t>E</t>
  </si>
  <si>
    <t xml:space="preserve"> Adding a macro to add a page to the SOS      </t>
  </si>
  <si>
    <t>Spanish</t>
  </si>
  <si>
    <t>Lengua</t>
  </si>
  <si>
    <t>HOJA DE OPERACIÓN ESTÁNDAR
 ANÁLISIS (SOS-A)</t>
  </si>
  <si>
    <t>Estación de trabajo :</t>
  </si>
  <si>
    <t>Actividad:</t>
  </si>
  <si>
    <t>Producto:</t>
  </si>
  <si>
    <t>Equipo de protección personal (EPP)</t>
  </si>
  <si>
    <t>Calzado de seguridad</t>
  </si>
  <si>
    <t>Indumentaria de trabajo</t>
  </si>
  <si>
    <t>Protección de la cabeza</t>
  </si>
  <si>
    <t>Guantes</t>
  </si>
  <si>
    <t>Chaleco</t>
  </si>
  <si>
    <t>Gafas</t>
  </si>
  <si>
    <t>Protección auditiva</t>
  </si>
  <si>
    <t>Máscara</t>
  </si>
  <si>
    <t>Material peligroso</t>
  </si>
  <si>
    <t>Reciclaje</t>
  </si>
  <si>
    <t>¿Qué está prohibido y por qué? ¿Cómo reaccionar?</t>
  </si>
  <si>
    <t>Panoplia:</t>
  </si>
  <si>
    <t>Área de la habitación:</t>
  </si>
  <si>
    <t>Sí</t>
  </si>
  <si>
    <t>Colores de zonificación:</t>
  </si>
  <si>
    <t>A - Muy visible</t>
  </si>
  <si>
    <t>C - Posiblemente visible</t>
  </si>
  <si>
    <t>Productos y herramientas utilizados (añadir referencias)</t>
  </si>
  <si>
    <t>Aspecto</t>
  </si>
  <si>
    <t>Táctil</t>
  </si>
  <si>
    <t>tembloroso</t>
  </si>
  <si>
    <t>Medir</t>
  </si>
  <si>
    <t xml:space="preserve">Característica especial (SC): característica (producto o proceso) relacionada con la seguridad o las regulaciones legales, función de la pieza. 
</t>
  </si>
  <si>
    <t>Revisión:</t>
  </si>
  <si>
    <t>Objeto de revisión:</t>
  </si>
  <si>
    <t>Creación de documentos:</t>
  </si>
  <si>
    <t>Creado por:</t>
  </si>
  <si>
    <t>Validado - Producción:</t>
  </si>
  <si>
    <t>Validado - Calidad:</t>
  </si>
  <si>
    <t>Fecha:</t>
  </si>
  <si>
    <t>Firma:</t>
  </si>
  <si>
    <t>Paso principal No :</t>
  </si>
  <si>
    <t>CP/CS:</t>
  </si>
  <si>
    <t>Descripción del procedimiento operativo: con detalles escritos</t>
  </si>
  <si>
    <t>Complemento del modus operandi:
con fotos si es necesario</t>
  </si>
  <si>
    <t>Pasos clave</t>
  </si>
  <si>
    <t xml:space="preserve">Puntos clave (¿cómo?)
</t>
  </si>
  <si>
    <t>Motivo del punto clave (¿Por qué?): en fotos o diagrama y OK/NOK si es posible</t>
  </si>
  <si>
    <t>Historial de revisiones</t>
  </si>
  <si>
    <t>Fecha</t>
  </si>
  <si>
    <t>Índice</t>
  </si>
  <si>
    <t>Cambiar controlador</t>
  </si>
  <si>
    <t>Descripción del cambio</t>
  </si>
  <si>
    <t xml:space="preserve">Añadir una página al SOS
</t>
  </si>
  <si>
    <t>F</t>
  </si>
  <si>
    <t>Mohamed KHACHROUM</t>
  </si>
  <si>
    <t>Adding Spanish language</t>
  </si>
  <si>
    <t>G</t>
  </si>
  <si>
    <t>Adding automatic formula + automatic page number</t>
  </si>
  <si>
    <t>Validé - HSE :</t>
  </si>
  <si>
    <t>Validation - HSE</t>
  </si>
  <si>
    <t>Validado - HSE</t>
  </si>
  <si>
    <t>H</t>
  </si>
  <si>
    <t>28/08/20204</t>
  </si>
  <si>
    <t>Adding validation HSE</t>
  </si>
  <si>
    <t xml:space="preserve">Schválil - HSE </t>
  </si>
  <si>
    <t>Validierung - HSE</t>
  </si>
  <si>
    <t>Portuguese</t>
  </si>
  <si>
    <t>Linguagem</t>
  </si>
  <si>
    <t>Posto de trabalho:</t>
  </si>
  <si>
    <t>Atividade:</t>
  </si>
  <si>
    <t>Produto:</t>
  </si>
  <si>
    <t>Equipamento de proteção individual (EPI)</t>
  </si>
  <si>
    <t>Sapato de segurança</t>
  </si>
  <si>
    <t>Roupa de trabalho</t>
  </si>
  <si>
    <t>Boné de segurança</t>
  </si>
  <si>
    <t>Luvas</t>
  </si>
  <si>
    <t>Colete refletor</t>
  </si>
  <si>
    <t>Óculos</t>
  </si>
  <si>
    <t>Proteção auditiva</t>
  </si>
  <si>
    <t>Material perigoso</t>
  </si>
  <si>
    <t>Reciclagem</t>
  </si>
  <si>
    <t>Regulamentações especiais - O que é proibido e porquê? Como gerir anomalias?</t>
  </si>
  <si>
    <t>Panóplia</t>
  </si>
  <si>
    <t>Peça zona</t>
  </si>
  <si>
    <t>Sim</t>
  </si>
  <si>
    <t>Não</t>
  </si>
  <si>
    <t>Zonas e cores</t>
  </si>
  <si>
    <t>A - Muito visível</t>
  </si>
  <si>
    <t>B - Visível</t>
  </si>
  <si>
    <t>C - Pouco visível</t>
  </si>
  <si>
    <t>D - Não visível</t>
  </si>
  <si>
    <t>Produtos e ferramentas utilizados (referência)</t>
  </si>
  <si>
    <t>Pictogramas usados:</t>
  </si>
  <si>
    <t>Aspeto</t>
  </si>
  <si>
    <t>Tátil</t>
  </si>
  <si>
    <t>Barulho</t>
  </si>
  <si>
    <t>Por movimento</t>
  </si>
  <si>
    <t>Medição</t>
  </si>
  <si>
    <t>Caracteristicas especiais (CE): Caracterisitica (produto ou processo) que está relacionada com normas de segurança ou regulamentares, função da peça. Nenhum desvio permitido.</t>
  </si>
  <si>
    <t>Revisão:</t>
  </si>
  <si>
    <t>Assunto de revisão:</t>
  </si>
  <si>
    <t>Criação do documento:</t>
  </si>
  <si>
    <t>Criado por:</t>
  </si>
  <si>
    <t>Validação - Produção</t>
  </si>
  <si>
    <t>Validação - Qualidade</t>
  </si>
  <si>
    <t>Validação - HSE</t>
  </si>
  <si>
    <t>Data:</t>
  </si>
  <si>
    <t>Assinatura</t>
  </si>
  <si>
    <t>Passo</t>
  </si>
  <si>
    <t>CO/CE:</t>
  </si>
  <si>
    <t>Descrição da tarefa: (O quê?) detalhado</t>
  </si>
  <si>
    <t>Descrição da tarefa ( o quê) fotos se necessário</t>
  </si>
  <si>
    <t>Tarefa principal:</t>
  </si>
  <si>
    <t>Ponto chave (como?)</t>
  </si>
  <si>
    <t>Razão do Ponto-chave (Porquê) : Fotos, OK/NOK</t>
  </si>
  <si>
    <t>Histórico das revisões</t>
  </si>
  <si>
    <t>Data</t>
  </si>
  <si>
    <t>Piloto da modificação</t>
  </si>
  <si>
    <t>Descrição da modificação</t>
  </si>
  <si>
    <t>Adicionar uma página ao SOS</t>
  </si>
  <si>
    <t>MATIAS Carlos</t>
  </si>
  <si>
    <t>Adding Portuguese  language</t>
  </si>
  <si>
    <t>I</t>
  </si>
  <si>
    <t>Polski</t>
  </si>
  <si>
    <t>Język</t>
  </si>
  <si>
    <t>Stanowisko pracy:</t>
  </si>
  <si>
    <t>Czynność:</t>
  </si>
  <si>
    <t>Środki ochrony indywidualnej (ŚOI)</t>
  </si>
  <si>
    <t>Obuwie ochronne:</t>
  </si>
  <si>
    <t>Odzież robocza:</t>
  </si>
  <si>
    <t>Ochrona głowy:</t>
  </si>
  <si>
    <t>Rękawice:</t>
  </si>
  <si>
    <t>Kamizelka odblaskowa:</t>
  </si>
  <si>
    <t>Okulary</t>
  </si>
  <si>
    <t>Ochrona słuchu:</t>
  </si>
  <si>
    <t>Materiały niebezpieczne:</t>
  </si>
  <si>
    <t>Recykling:</t>
  </si>
  <si>
    <t>Specjalne regulacje - Co jest zabronione i dlaczego? Jak zarządzać nieprawidłowościami?</t>
  </si>
  <si>
    <t>Przykłady graniczne:</t>
  </si>
  <si>
    <t>Część strefowa:</t>
  </si>
  <si>
    <t>Tak</t>
  </si>
  <si>
    <t>Nie</t>
  </si>
  <si>
    <t>Kolory strefowe:</t>
  </si>
  <si>
    <t>A - bardzo widoczny</t>
  </si>
  <si>
    <t>B - widoczny</t>
  </si>
  <si>
    <t>C - może być widoczny</t>
  </si>
  <si>
    <t>D - niewidoczny</t>
  </si>
  <si>
    <t>Użyte materiały (referencje)</t>
  </si>
  <si>
    <t>Użyte piktogramy:</t>
  </si>
  <si>
    <t>Aspekt</t>
  </si>
  <si>
    <t>Hałas</t>
  </si>
  <si>
    <t>Ruch</t>
  </si>
  <si>
    <t>Pomiar</t>
  </si>
  <si>
    <t xml:space="preserve">Charakterystyka specjalna (SC): charakterystyka (produktu lub procesu), która jest związana z bezpieczeństwem lub przepisami regulacyjnymi, funkcją części. Nie dopuszcza się żadnych odchyleń. </t>
  </si>
  <si>
    <t>Temat rewizji:</t>
  </si>
  <si>
    <t>Rewizja:</t>
  </si>
  <si>
    <t>Utworzenie dokumentu:</t>
  </si>
  <si>
    <t>Utworzone przez:</t>
  </si>
  <si>
    <t>Walidacja - Produkcja</t>
  </si>
  <si>
    <t>Walidacja - Jakość</t>
  </si>
  <si>
    <t>Walidacja - BHP</t>
  </si>
  <si>
    <t>Główny krok</t>
  </si>
  <si>
    <t xml:space="preserve">Opis pracy: (Co?) szczegóły </t>
  </si>
  <si>
    <t>Opis pracy: (Co?) zdjęcia jeśli wymagane</t>
  </si>
  <si>
    <t>Główny krok:</t>
  </si>
  <si>
    <t>Kluczowe punkty (Jak?)</t>
  </si>
  <si>
    <t>Przyczyna kluczowym punktów (Dlaczego?): Zdjęcia OK/NOK</t>
  </si>
  <si>
    <t>Historia rewizji</t>
  </si>
  <si>
    <t>Indeks</t>
  </si>
  <si>
    <t>Opis zmiany</t>
  </si>
  <si>
    <t>Pilot zmiany</t>
  </si>
  <si>
    <t>STANDARDOWY ARKUSZ OPERACYJNY
ANALIZA (SAO-A)</t>
  </si>
  <si>
    <t>Dodanie strony do SAO</t>
  </si>
  <si>
    <t>J</t>
  </si>
  <si>
    <t>DZIADOWICZ Bartosz</t>
  </si>
  <si>
    <t>Adding Polish language</t>
  </si>
  <si>
    <t>FOR-054-Multi-J</t>
  </si>
  <si>
    <t>Maseczka:</t>
  </si>
  <si>
    <t>Dotyk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</si>
</sst>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0"/>
      <name val="Arial"/>
      <charset val="238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sz val="10"/>
      <name val="Montserrat"/>
    </font>
    <font>
      <b/>
      <sz val="14"/>
      <name val="Montserrat"/>
    </font>
    <font>
      <sz val="8"/>
      <name val="Montserrat"/>
    </font>
    <font>
      <sz val="10"/>
      <name val="Montserrat"/>
    </font>
    <font>
      <sz val="12"/>
      <name val="Montserrat"/>
    </font>
    <font>
      <sz val="20"/>
      <name val="Montserrat"/>
    </font>
    <font>
      <sz val="9"/>
      <name val="Montserrat"/>
    </font>
    <font>
      <b/>
      <sz val="12"/>
      <color indexed="10"/>
      <name val="Montserrat"/>
    </font>
    <font>
      <sz val="8"/>
      <color indexed="10"/>
      <name val="Montserrat"/>
    </font>
    <font>
      <sz val="8"/>
      <color indexed="8"/>
      <name val="Montserrat"/>
    </font>
    <font>
      <b/>
      <sz val="8"/>
      <name val="Montserrat"/>
    </font>
    <font>
      <b/>
      <sz val="8"/>
      <color indexed="10"/>
      <name val="Montserrat"/>
    </font>
    <font>
      <sz val="7"/>
      <name val="Montserrat"/>
    </font>
    <font>
      <sz val="10"/>
      <name val="Arial"/>
      <family val="2"/>
    </font>
    <font>
      <sz val="10"/>
      <name val="MS Sans Serif"/>
      <family val="2"/>
    </font>
    <font>
      <b/>
      <sz val="10"/>
      <color theme="1"/>
      <name val="Montserrat"/>
    </font>
    <font>
      <sz val="10"/>
      <color theme="1"/>
      <name val="Montserrat"/>
    </font>
    <font>
      <sz val="11"/>
      <name val="Montserrat"/>
    </font>
    <font>
      <b/>
      <sz val="10"/>
      <name val="MS Sans Serif"/>
    </font>
    <font>
      <b/>
      <sz val="11"/>
      <name val="Montserrat"/>
    </font>
    <font>
      <sz val="8"/>
      <color theme="1"/>
      <name val="Montserrat"/>
    </font>
    <font>
      <b/>
      <sz val="16"/>
      <color rgb="FF000000"/>
      <name val="Montserrat"/>
    </font>
    <font>
      <b/>
      <sz val="8"/>
      <name val="Montserrat"/>
      <charset val="238"/>
    </font>
    <font>
      <b/>
      <sz val="7"/>
      <name val="Montserrat"/>
      <charset val="238"/>
    </font>
    <font>
      <sz val="8"/>
      <color rgb="FF00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DashDotDot">
        <color indexed="64"/>
      </top>
      <bottom/>
      <diagonal/>
    </border>
    <border>
      <left/>
      <right/>
      <top style="mediumDashDotDot">
        <color indexed="64"/>
      </top>
      <bottom/>
      <diagonal/>
    </border>
    <border>
      <left/>
      <right style="medium">
        <color indexed="64"/>
      </right>
      <top style="mediumDashDotDot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8" fillId="0" borderId="0"/>
    <xf numFmtId="0" fontId="17" fillId="0" borderId="0"/>
    <xf numFmtId="0" fontId="1" fillId="0" borderId="0"/>
  </cellStyleXfs>
  <cellXfs count="241">
    <xf numFmtId="0" fontId="0" fillId="0" borderId="0" xfId="0"/>
    <xf numFmtId="0" fontId="3" fillId="0" borderId="0" xfId="0" applyFont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19" fillId="4" borderId="0" xfId="1" applyFont="1" applyFill="1" applyAlignment="1">
      <alignment horizontal="center" vertical="center" wrapText="1"/>
    </xf>
    <xf numFmtId="0" fontId="19" fillId="5" borderId="0" xfId="1" applyFont="1" applyFill="1" applyAlignment="1">
      <alignment horizontal="center" vertical="center" wrapText="1"/>
    </xf>
    <xf numFmtId="0" fontId="19" fillId="0" borderId="0" xfId="1" applyFont="1" applyAlignment="1">
      <alignment horizontal="center" wrapText="1"/>
    </xf>
    <xf numFmtId="0" fontId="0" fillId="0" borderId="0" xfId="0" applyAlignment="1">
      <alignment wrapText="1"/>
    </xf>
    <xf numFmtId="0" fontId="20" fillId="7" borderId="3" xfId="1" applyFont="1" applyFill="1" applyBorder="1" applyAlignment="1">
      <alignment horizontal="center" wrapText="1"/>
    </xf>
    <xf numFmtId="0" fontId="20" fillId="0" borderId="0" xfId="1" applyFont="1" applyAlignment="1">
      <alignment horizontal="left" vertical="top" wrapText="1"/>
    </xf>
    <xf numFmtId="0" fontId="20" fillId="4" borderId="0" xfId="1" applyFont="1" applyFill="1" applyAlignment="1">
      <alignment horizontal="center" vertical="top" wrapText="1"/>
    </xf>
    <xf numFmtId="0" fontId="20" fillId="7" borderId="3" xfId="1" applyFont="1" applyFill="1" applyBorder="1" applyAlignment="1">
      <alignment horizontal="center" vertical="center" wrapText="1"/>
    </xf>
    <xf numFmtId="0" fontId="19" fillId="4" borderId="0" xfId="1" applyFont="1" applyFill="1" applyAlignment="1">
      <alignment horizontal="center" vertical="top" wrapText="1"/>
    </xf>
    <xf numFmtId="0" fontId="20" fillId="4" borderId="0" xfId="1" applyFont="1" applyFill="1" applyAlignment="1">
      <alignment vertical="top" wrapText="1"/>
    </xf>
    <xf numFmtId="0" fontId="20" fillId="0" borderId="0" xfId="1" applyFont="1" applyAlignment="1">
      <alignment vertical="top" wrapText="1"/>
    </xf>
    <xf numFmtId="0" fontId="20" fillId="0" borderId="0" xfId="1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9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2" fillId="0" borderId="0" xfId="0" applyFont="1" applyAlignment="1">
      <alignment vertical="top" wrapText="1"/>
    </xf>
    <xf numFmtId="0" fontId="20" fillId="4" borderId="0" xfId="1" applyFont="1" applyFill="1" applyAlignment="1">
      <alignment horizontal="center" vertical="center" wrapText="1"/>
    </xf>
    <xf numFmtId="0" fontId="20" fillId="0" borderId="0" xfId="1" applyFont="1" applyAlignment="1">
      <alignment horizontal="left" vertical="center" wrapText="1"/>
    </xf>
    <xf numFmtId="0" fontId="22" fillId="0" borderId="0" xfId="0" applyFont="1" applyAlignment="1">
      <alignment wrapText="1"/>
    </xf>
    <xf numFmtId="0" fontId="19" fillId="0" borderId="0" xfId="1" applyFont="1" applyAlignment="1">
      <alignment horizontal="left" vertical="center" wrapText="1"/>
    </xf>
    <xf numFmtId="0" fontId="20" fillId="6" borderId="0" xfId="1" applyFont="1" applyFill="1" applyAlignment="1">
      <alignment wrapText="1"/>
    </xf>
    <xf numFmtId="0" fontId="20" fillId="6" borderId="0" xfId="1" applyFont="1" applyFill="1" applyAlignment="1">
      <alignment vertical="top" wrapText="1"/>
    </xf>
    <xf numFmtId="0" fontId="7" fillId="0" borderId="0" xfId="3" applyFont="1" applyAlignment="1">
      <alignment wrapText="1"/>
    </xf>
    <xf numFmtId="0" fontId="7" fillId="0" borderId="16" xfId="3" applyFont="1" applyBorder="1" applyAlignment="1">
      <alignment wrapText="1"/>
    </xf>
    <xf numFmtId="0" fontId="7" fillId="0" borderId="19" xfId="3" applyFont="1" applyBorder="1" applyAlignment="1">
      <alignment wrapText="1"/>
    </xf>
    <xf numFmtId="0" fontId="7" fillId="0" borderId="20" xfId="3" applyFont="1" applyBorder="1" applyAlignment="1">
      <alignment wrapText="1"/>
    </xf>
    <xf numFmtId="0" fontId="7" fillId="0" borderId="21" xfId="3" applyFont="1" applyBorder="1" applyAlignment="1">
      <alignment wrapText="1"/>
    </xf>
    <xf numFmtId="0" fontId="7" fillId="0" borderId="24" xfId="3" applyFont="1" applyBorder="1" applyAlignment="1">
      <alignment wrapText="1"/>
    </xf>
    <xf numFmtId="0" fontId="4" fillId="0" borderId="3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7" fillId="0" borderId="28" xfId="3" applyFont="1" applyBorder="1" applyAlignment="1">
      <alignment wrapText="1"/>
    </xf>
    <xf numFmtId="0" fontId="7" fillId="0" borderId="29" xfId="3" applyFont="1" applyBorder="1" applyAlignment="1">
      <alignment wrapText="1"/>
    </xf>
    <xf numFmtId="0" fontId="7" fillId="0" borderId="30" xfId="3" applyFont="1" applyBorder="1" applyAlignment="1">
      <alignment wrapText="1"/>
    </xf>
    <xf numFmtId="0" fontId="20" fillId="6" borderId="0" xfId="1" applyFont="1" applyFill="1" applyAlignment="1">
      <alignment horizontal="left" wrapText="1"/>
    </xf>
    <xf numFmtId="49" fontId="19" fillId="0" borderId="0" xfId="1" applyNumberFormat="1" applyFont="1" applyAlignment="1">
      <alignment horizontal="left" vertical="top" wrapText="1"/>
    </xf>
    <xf numFmtId="0" fontId="20" fillId="0" borderId="0" xfId="1" quotePrefix="1" applyFont="1" applyAlignment="1">
      <alignment horizontal="left" vertical="top" wrapText="1"/>
    </xf>
    <xf numFmtId="0" fontId="20" fillId="12" borderId="0" xfId="1" applyFont="1" applyFill="1" applyAlignment="1">
      <alignment wrapText="1"/>
    </xf>
    <xf numFmtId="0" fontId="19" fillId="6" borderId="0" xfId="1" applyFont="1" applyFill="1" applyAlignment="1">
      <alignment wrapText="1"/>
    </xf>
    <xf numFmtId="0" fontId="5" fillId="3" borderId="5" xfId="0" applyFont="1" applyFill="1" applyBorder="1" applyAlignment="1" applyProtection="1">
      <alignment vertical="center" wrapText="1"/>
      <protection locked="0"/>
    </xf>
    <xf numFmtId="0" fontId="5" fillId="3" borderId="6" xfId="0" applyFont="1" applyFill="1" applyBorder="1" applyAlignment="1" applyProtection="1">
      <alignment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5" fillId="3" borderId="0" xfId="0" applyFont="1" applyFill="1" applyAlignment="1" applyProtection="1">
      <alignment vertical="center" wrapText="1"/>
      <protection locked="0"/>
    </xf>
    <xf numFmtId="0" fontId="5" fillId="3" borderId="9" xfId="0" applyFont="1" applyFill="1" applyBorder="1" applyAlignment="1" applyProtection="1">
      <alignment vertical="center" wrapText="1"/>
      <protection locked="0"/>
    </xf>
    <xf numFmtId="0" fontId="8" fillId="10" borderId="0" xfId="0" applyFont="1" applyFill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16" fillId="2" borderId="12" xfId="0" applyFont="1" applyFill="1" applyBorder="1" applyAlignment="1" applyProtection="1">
      <alignment vertical="center"/>
      <protection locked="0"/>
    </xf>
    <xf numFmtId="0" fontId="9" fillId="0" borderId="8" xfId="0" applyFont="1" applyBorder="1" applyAlignment="1" applyProtection="1">
      <alignment vertical="center" wrapText="1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0" borderId="11" xfId="0" applyFont="1" applyBorder="1" applyAlignment="1" applyProtection="1">
      <alignment vertical="center" wrapText="1"/>
      <protection locked="0"/>
    </xf>
    <xf numFmtId="0" fontId="9" fillId="0" borderId="1" xfId="0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0" fontId="11" fillId="0" borderId="9" xfId="0" applyFont="1" applyBorder="1" applyAlignment="1" applyProtection="1">
      <alignment vertical="center" wrapText="1"/>
      <protection locked="0"/>
    </xf>
    <xf numFmtId="0" fontId="7" fillId="0" borderId="0" xfId="0" applyFont="1" applyProtection="1">
      <protection locked="0"/>
    </xf>
    <xf numFmtId="0" fontId="14" fillId="0" borderId="8" xfId="0" applyFont="1" applyBorder="1" applyAlignment="1" applyProtection="1">
      <alignment vertical="center" wrapText="1"/>
      <protection locked="0"/>
    </xf>
    <xf numFmtId="0" fontId="14" fillId="0" borderId="0" xfId="0" applyFont="1" applyAlignment="1" applyProtection="1">
      <alignment vertical="center" wrapText="1"/>
      <protection locked="0"/>
    </xf>
    <xf numFmtId="0" fontId="15" fillId="0" borderId="2" xfId="0" applyFont="1" applyBorder="1" applyAlignment="1" applyProtection="1">
      <alignment vertical="center" wrapText="1"/>
      <protection locked="0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vertical="center" wrapText="1"/>
      <protection locked="0"/>
    </xf>
    <xf numFmtId="0" fontId="13" fillId="0" borderId="12" xfId="0" applyFont="1" applyBorder="1" applyAlignment="1" applyProtection="1">
      <alignment vertical="center" wrapText="1"/>
      <protection locked="0"/>
    </xf>
    <xf numFmtId="0" fontId="6" fillId="0" borderId="13" xfId="0" applyFont="1" applyBorder="1" applyAlignment="1" applyProtection="1">
      <alignment vertical="center" wrapText="1"/>
      <protection locked="0"/>
    </xf>
    <xf numFmtId="0" fontId="6" fillId="0" borderId="14" xfId="0" applyFont="1" applyBorder="1" applyAlignment="1" applyProtection="1">
      <alignment vertical="center" wrapText="1"/>
      <protection locked="0"/>
    </xf>
    <xf numFmtId="0" fontId="6" fillId="0" borderId="15" xfId="0" applyFont="1" applyBorder="1" applyAlignment="1" applyProtection="1">
      <alignment vertical="center" wrapText="1"/>
      <protection locked="0"/>
    </xf>
    <xf numFmtId="0" fontId="16" fillId="2" borderId="4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14" fontId="6" fillId="2" borderId="0" xfId="0" applyNumberFormat="1" applyFont="1" applyFill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10" xfId="0" applyFont="1" applyFill="1" applyBorder="1" applyAlignment="1">
      <alignment vertical="center" wrapText="1"/>
    </xf>
    <xf numFmtId="0" fontId="27" fillId="0" borderId="1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9" fillId="0" borderId="8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9" fillId="0" borderId="9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9" fillId="2" borderId="1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14" fontId="6" fillId="2" borderId="0" xfId="0" applyNumberFormat="1" applyFont="1" applyFill="1" applyAlignment="1" applyProtection="1">
      <alignment horizontal="center" vertical="center" wrapText="1"/>
      <protection locked="0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13" borderId="8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5" borderId="1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 wrapText="1"/>
    </xf>
    <xf numFmtId="0" fontId="12" fillId="0" borderId="0" xfId="0" applyFont="1" applyAlignment="1" applyProtection="1">
      <alignment horizontal="left" vertical="center"/>
      <protection locked="0"/>
    </xf>
    <xf numFmtId="0" fontId="12" fillId="0" borderId="9" xfId="0" applyFont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12" fillId="0" borderId="9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24" fillId="11" borderId="0" xfId="0" applyFont="1" applyFill="1" applyAlignment="1">
      <alignment horizontal="center" vertical="center" wrapText="1"/>
    </xf>
    <xf numFmtId="0" fontId="24" fillId="11" borderId="9" xfId="0" applyFont="1" applyFill="1" applyBorder="1" applyAlignment="1">
      <alignment horizontal="center" vertical="center" wrapText="1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 applyProtection="1">
      <alignment horizontal="left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14" fontId="6" fillId="0" borderId="8" xfId="0" applyNumberFormat="1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6" fillId="0" borderId="5" xfId="0" applyFont="1" applyBorder="1" applyAlignment="1" applyProtection="1">
      <alignment horizontal="left" vertical="center" wrapText="1"/>
      <protection locked="0"/>
    </xf>
    <xf numFmtId="0" fontId="6" fillId="0" borderId="8" xfId="0" applyFont="1" applyBorder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11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7" fillId="10" borderId="7" xfId="0" applyFont="1" applyFill="1" applyBorder="1" applyAlignment="1" applyProtection="1">
      <alignment horizontal="center" vertical="top"/>
      <protection locked="0"/>
    </xf>
    <xf numFmtId="0" fontId="7" fillId="10" borderId="5" xfId="0" applyFont="1" applyFill="1" applyBorder="1" applyAlignment="1" applyProtection="1">
      <alignment horizontal="center" vertical="top"/>
      <protection locked="0"/>
    </xf>
    <xf numFmtId="0" fontId="7" fillId="10" borderId="6" xfId="0" applyFont="1" applyFill="1" applyBorder="1" applyAlignment="1" applyProtection="1">
      <alignment horizontal="center" vertical="top"/>
      <protection locked="0"/>
    </xf>
    <xf numFmtId="0" fontId="7" fillId="10" borderId="8" xfId="0" applyFont="1" applyFill="1" applyBorder="1" applyAlignment="1" applyProtection="1">
      <alignment horizontal="center" vertical="top"/>
      <protection locked="0"/>
    </xf>
    <xf numFmtId="0" fontId="7" fillId="10" borderId="0" xfId="0" applyFont="1" applyFill="1" applyAlignment="1" applyProtection="1">
      <alignment horizontal="center" vertical="top"/>
      <protection locked="0"/>
    </xf>
    <xf numFmtId="0" fontId="7" fillId="10" borderId="9" xfId="0" applyFont="1" applyFill="1" applyBorder="1" applyAlignment="1" applyProtection="1">
      <alignment horizontal="center" vertical="top"/>
      <protection locked="0"/>
    </xf>
    <xf numFmtId="0" fontId="7" fillId="10" borderId="11" xfId="0" applyFont="1" applyFill="1" applyBorder="1" applyAlignment="1" applyProtection="1">
      <alignment horizontal="center" vertical="top"/>
      <protection locked="0"/>
    </xf>
    <xf numFmtId="0" fontId="7" fillId="10" borderId="1" xfId="0" applyFont="1" applyFill="1" applyBorder="1" applyAlignment="1" applyProtection="1">
      <alignment horizontal="center" vertical="top"/>
      <protection locked="0"/>
    </xf>
    <xf numFmtId="0" fontId="7" fillId="10" borderId="10" xfId="0" applyFont="1" applyFill="1" applyBorder="1" applyAlignment="1" applyProtection="1">
      <alignment horizontal="center" vertical="top"/>
      <protection locked="0"/>
    </xf>
    <xf numFmtId="0" fontId="6" fillId="0" borderId="1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7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0" xfId="0" applyFont="1" applyBorder="1" applyAlignment="1" applyProtection="1">
      <alignment horizontal="center" vertical="center" wrapText="1"/>
      <protection locked="0"/>
    </xf>
    <xf numFmtId="0" fontId="4" fillId="0" borderId="31" xfId="0" applyFont="1" applyBorder="1" applyAlignment="1" applyProtection="1">
      <alignment horizontal="center" vertical="center"/>
      <protection locked="0"/>
    </xf>
    <xf numFmtId="0" fontId="4" fillId="0" borderId="32" xfId="0" applyFont="1" applyBorder="1" applyAlignment="1" applyProtection="1">
      <alignment horizontal="center" vertical="center"/>
      <protection locked="0"/>
    </xf>
    <xf numFmtId="0" fontId="4" fillId="0" borderId="33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0" fontId="5" fillId="3" borderId="37" xfId="0" applyFont="1" applyFill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5" fillId="3" borderId="23" xfId="0" applyFont="1" applyFill="1" applyBorder="1" applyAlignment="1" applyProtection="1">
      <alignment horizontal="center" vertical="center" wrapText="1"/>
      <protection locked="0"/>
    </xf>
    <xf numFmtId="0" fontId="5" fillId="3" borderId="0" xfId="0" applyFont="1" applyFill="1" applyAlignment="1" applyProtection="1">
      <alignment horizontal="center" vertical="center" wrapText="1"/>
      <protection locked="0"/>
    </xf>
    <xf numFmtId="0" fontId="5" fillId="3" borderId="38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8" borderId="13" xfId="0" applyFont="1" applyFill="1" applyBorder="1" applyAlignment="1">
      <alignment horizontal="center" vertical="center" wrapText="1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35" xfId="0" applyFont="1" applyBorder="1" applyAlignment="1" applyProtection="1">
      <alignment horizontal="center"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5" fillId="8" borderId="15" xfId="0" applyFont="1" applyFill="1" applyBorder="1" applyAlignment="1">
      <alignment horizontal="center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10" borderId="3" xfId="0" applyFont="1" applyFill="1" applyBorder="1" applyAlignment="1">
      <alignment horizontal="center" vertical="top" wrapText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5" fillId="8" borderId="13" xfId="0" applyFont="1" applyFill="1" applyBorder="1" applyAlignment="1" applyProtection="1">
      <alignment horizontal="center" vertical="center" wrapText="1"/>
      <protection locked="0"/>
    </xf>
    <xf numFmtId="0" fontId="5" fillId="8" borderId="15" xfId="0" applyFont="1" applyFill="1" applyBorder="1" applyAlignment="1" applyProtection="1">
      <alignment horizontal="center" vertical="center" wrapText="1"/>
      <protection locked="0"/>
    </xf>
    <xf numFmtId="0" fontId="7" fillId="9" borderId="2" xfId="0" applyFont="1" applyFill="1" applyBorder="1" applyAlignment="1" applyProtection="1">
      <alignment horizontal="center" vertical="top"/>
      <protection locked="0"/>
    </xf>
    <xf numFmtId="0" fontId="7" fillId="9" borderId="4" xfId="0" applyFont="1" applyFill="1" applyBorder="1" applyAlignment="1" applyProtection="1">
      <alignment horizontal="center" vertical="top"/>
      <protection locked="0"/>
    </xf>
    <xf numFmtId="0" fontId="7" fillId="9" borderId="12" xfId="0" applyFont="1" applyFill="1" applyBorder="1" applyAlignment="1" applyProtection="1">
      <alignment horizontal="center" vertical="top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10" xfId="0" applyFont="1" applyBorder="1" applyAlignment="1" applyProtection="1">
      <alignment horizontal="center" vertical="center" wrapText="1"/>
      <protection locked="0"/>
    </xf>
    <xf numFmtId="0" fontId="13" fillId="14" borderId="1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1" fillId="0" borderId="16" xfId="2" applyFont="1" applyBorder="1" applyAlignment="1" applyProtection="1">
      <alignment horizontal="center" vertical="center" wrapText="1"/>
      <protection locked="0"/>
    </xf>
    <xf numFmtId="0" fontId="21" fillId="0" borderId="17" xfId="2" applyFont="1" applyBorder="1" applyAlignment="1" applyProtection="1">
      <alignment horizontal="center" vertical="center" wrapText="1"/>
      <protection locked="0"/>
    </xf>
    <xf numFmtId="0" fontId="21" fillId="0" borderId="21" xfId="2" applyFont="1" applyBorder="1" applyAlignment="1" applyProtection="1">
      <alignment horizontal="center" vertical="center" wrapText="1"/>
      <protection locked="0"/>
    </xf>
    <xf numFmtId="0" fontId="21" fillId="0" borderId="22" xfId="2" applyFont="1" applyBorder="1" applyAlignment="1" applyProtection="1">
      <alignment horizontal="center" vertical="center" wrapText="1"/>
      <protection locked="0"/>
    </xf>
    <xf numFmtId="0" fontId="23" fillId="0" borderId="18" xfId="2" applyFont="1" applyBorder="1" applyAlignment="1" applyProtection="1">
      <alignment horizontal="center" vertical="center" wrapText="1"/>
      <protection locked="0"/>
    </xf>
    <xf numFmtId="0" fontId="23" fillId="0" borderId="19" xfId="2" applyFont="1" applyBorder="1" applyAlignment="1" applyProtection="1">
      <alignment horizontal="center" vertical="center" wrapText="1"/>
      <protection locked="0"/>
    </xf>
    <xf numFmtId="0" fontId="23" fillId="0" borderId="17" xfId="2" applyFont="1" applyBorder="1" applyAlignment="1" applyProtection="1">
      <alignment horizontal="center" vertical="center" wrapText="1"/>
      <protection locked="0"/>
    </xf>
    <xf numFmtId="0" fontId="23" fillId="0" borderId="23" xfId="2" applyFont="1" applyBorder="1" applyAlignment="1" applyProtection="1">
      <alignment horizontal="center" vertical="center" wrapText="1"/>
      <protection locked="0"/>
    </xf>
    <xf numFmtId="0" fontId="23" fillId="0" borderId="0" xfId="2" applyFont="1" applyAlignment="1" applyProtection="1">
      <alignment horizontal="center" vertical="center" wrapText="1"/>
      <protection locked="0"/>
    </xf>
    <xf numFmtId="0" fontId="23" fillId="0" borderId="22" xfId="2" applyFont="1" applyBorder="1" applyAlignment="1" applyProtection="1">
      <alignment horizontal="center" vertical="center" wrapText="1"/>
      <protection locked="0"/>
    </xf>
    <xf numFmtId="0" fontId="23" fillId="0" borderId="20" xfId="2" applyFont="1" applyBorder="1" applyAlignment="1" applyProtection="1">
      <alignment horizontal="center" vertical="center" wrapText="1"/>
      <protection locked="0"/>
    </xf>
    <xf numFmtId="0" fontId="23" fillId="0" borderId="24" xfId="2" applyFont="1" applyBorder="1" applyAlignment="1" applyProtection="1">
      <alignment horizontal="center" vertical="center" wrapText="1"/>
      <protection locked="0"/>
    </xf>
    <xf numFmtId="0" fontId="23" fillId="0" borderId="25" xfId="2" applyFont="1" applyBorder="1" applyAlignment="1" applyProtection="1">
      <alignment horizontal="center" vertical="center" wrapText="1"/>
      <protection locked="0"/>
    </xf>
    <xf numFmtId="0" fontId="23" fillId="0" borderId="26" xfId="2" applyFont="1" applyBorder="1" applyAlignment="1" applyProtection="1">
      <alignment horizontal="center" vertical="center" wrapText="1"/>
      <protection locked="0"/>
    </xf>
    <xf numFmtId="0" fontId="23" fillId="0" borderId="27" xfId="2" applyFont="1" applyBorder="1" applyAlignment="1" applyProtection="1">
      <alignment horizontal="center" vertical="center" wrapText="1"/>
      <protection locked="0"/>
    </xf>
    <xf numFmtId="0" fontId="4" fillId="0" borderId="3" xfId="3" applyFont="1" applyBorder="1" applyAlignment="1">
      <alignment horizontal="center" vertical="center" wrapText="1"/>
    </xf>
    <xf numFmtId="14" fontId="10" fillId="0" borderId="3" xfId="3" applyNumberFormat="1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left" vertical="center" wrapText="1"/>
    </xf>
    <xf numFmtId="14" fontId="10" fillId="0" borderId="2" xfId="3" applyNumberFormat="1" applyFont="1" applyBorder="1" applyAlignment="1">
      <alignment horizontal="center" vertical="center" wrapText="1"/>
    </xf>
    <xf numFmtId="14" fontId="10" fillId="0" borderId="12" xfId="3" applyNumberFormat="1" applyFont="1" applyBorder="1" applyAlignment="1">
      <alignment horizontal="center" vertical="center" wrapText="1"/>
    </xf>
    <xf numFmtId="0" fontId="10" fillId="0" borderId="2" xfId="3" applyFont="1" applyBorder="1" applyAlignment="1">
      <alignment horizontal="left" vertical="center" wrapText="1"/>
    </xf>
    <xf numFmtId="0" fontId="10" fillId="0" borderId="4" xfId="3" applyFont="1" applyBorder="1" applyAlignment="1">
      <alignment horizontal="left" vertical="center" wrapText="1"/>
    </xf>
    <xf numFmtId="0" fontId="10" fillId="0" borderId="12" xfId="3" applyFont="1" applyBorder="1" applyAlignment="1">
      <alignment horizontal="left" vertical="center" wrapText="1"/>
    </xf>
  </cellXfs>
  <cellStyles count="4">
    <cellStyle name="Normal" xfId="0" builtinId="0"/>
    <cellStyle name="Normal 2" xfId="1"/>
    <cellStyle name="Normal 3" xfId="3"/>
    <cellStyle name="Normal_Copie de 2200" xfId="2"/>
  </cellStyles>
  <dxfs count="1">
    <dxf>
      <font>
        <condense val="0"/>
        <extend val="0"/>
        <color indexed="26"/>
      </font>
    </dxf>
  </dxfs>
  <tableStyles count="0" defaultTableStyle="TableStyleMedium2" defaultPivotStyle="PivotStyleLight16"/>
  <colors>
    <mruColors>
      <color rgb="FF339966"/>
      <color rgb="FF33CC33"/>
      <color rgb="FFDDDDDD"/>
      <color rgb="FFFFFFFF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31.jpeg"/><Relationship Id="rId18" Type="http://schemas.openxmlformats.org/officeDocument/2006/relationships/image" Target="../media/image36.jpeg"/><Relationship Id="rId3" Type="http://schemas.openxmlformats.org/officeDocument/2006/relationships/image" Target="../media/image21.png"/><Relationship Id="rId21" Type="http://schemas.openxmlformats.org/officeDocument/2006/relationships/image" Target="../media/image39.jpeg"/><Relationship Id="rId7" Type="http://schemas.openxmlformats.org/officeDocument/2006/relationships/image" Target="../media/image25.png"/><Relationship Id="rId12" Type="http://schemas.openxmlformats.org/officeDocument/2006/relationships/image" Target="../media/image30.png"/><Relationship Id="rId17" Type="http://schemas.openxmlformats.org/officeDocument/2006/relationships/image" Target="../media/image35.jpeg"/><Relationship Id="rId2" Type="http://schemas.openxmlformats.org/officeDocument/2006/relationships/image" Target="../media/image20.png"/><Relationship Id="rId16" Type="http://schemas.openxmlformats.org/officeDocument/2006/relationships/image" Target="../media/image34.jpeg"/><Relationship Id="rId20" Type="http://schemas.openxmlformats.org/officeDocument/2006/relationships/image" Target="../media/image38.jpe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openxmlformats.org/officeDocument/2006/relationships/image" Target="../media/image33.jpeg"/><Relationship Id="rId10" Type="http://schemas.openxmlformats.org/officeDocument/2006/relationships/image" Target="../media/image28.png"/><Relationship Id="rId19" Type="http://schemas.openxmlformats.org/officeDocument/2006/relationships/image" Target="../media/image37.jpeg"/><Relationship Id="rId4" Type="http://schemas.openxmlformats.org/officeDocument/2006/relationships/image" Target="../media/image22.png"/><Relationship Id="rId9" Type="http://schemas.openxmlformats.org/officeDocument/2006/relationships/image" Target="../media/image27.png"/><Relationship Id="rId14" Type="http://schemas.openxmlformats.org/officeDocument/2006/relationships/image" Target="../media/image32.jpeg"/><Relationship Id="rId22" Type="http://schemas.openxmlformats.org/officeDocument/2006/relationships/image" Target="../media/image4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8</xdr:row>
      <xdr:rowOff>45720</xdr:rowOff>
    </xdr:from>
    <xdr:to>
      <xdr:col>4</xdr:col>
      <xdr:colOff>91440</xdr:colOff>
      <xdr:row>10</xdr:row>
      <xdr:rowOff>198120</xdr:rowOff>
    </xdr:to>
    <xdr:pic>
      <xdr:nvPicPr>
        <xdr:cNvPr id="4103" name="Picture 7" descr="4865_0_Sicherheitsschuhe_benutzen">
          <a:extLs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1630680"/>
          <a:ext cx="89154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60960</xdr:colOff>
      <xdr:row>8</xdr:row>
      <xdr:rowOff>45720</xdr:rowOff>
    </xdr:from>
    <xdr:to>
      <xdr:col>10</xdr:col>
      <xdr:colOff>129540</xdr:colOff>
      <xdr:row>10</xdr:row>
      <xdr:rowOff>198120</xdr:rowOff>
    </xdr:to>
    <xdr:pic>
      <xdr:nvPicPr>
        <xdr:cNvPr id="4105" name="Picture 9" descr="1110_0_Schutzkleidung_benutzen">
          <a:extLs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660" y="1630680"/>
          <a:ext cx="89154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60960</xdr:colOff>
      <xdr:row>8</xdr:row>
      <xdr:rowOff>38100</xdr:rowOff>
    </xdr:from>
    <xdr:to>
      <xdr:col>20</xdr:col>
      <xdr:colOff>129537</xdr:colOff>
      <xdr:row>10</xdr:row>
      <xdr:rowOff>190500</xdr:rowOff>
    </xdr:to>
    <xdr:pic>
      <xdr:nvPicPr>
        <xdr:cNvPr id="4106" name="Picture 10" descr="1105_0_Handschutz_benutzen">
          <a:extLs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7060" y="1623060"/>
          <a:ext cx="89154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68580</xdr:colOff>
      <xdr:row>8</xdr:row>
      <xdr:rowOff>45720</xdr:rowOff>
    </xdr:from>
    <xdr:to>
      <xdr:col>30</xdr:col>
      <xdr:colOff>129540</xdr:colOff>
      <xdr:row>10</xdr:row>
      <xdr:rowOff>198120</xdr:rowOff>
    </xdr:to>
    <xdr:pic>
      <xdr:nvPicPr>
        <xdr:cNvPr id="4112" name="Picture 16" descr="Gebotszeichen - Augenschutz benutzen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2080" y="1630680"/>
          <a:ext cx="88392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60960</xdr:colOff>
      <xdr:row>8</xdr:row>
      <xdr:rowOff>45720</xdr:rowOff>
    </xdr:from>
    <xdr:to>
      <xdr:col>15</xdr:col>
      <xdr:colOff>126551</xdr:colOff>
      <xdr:row>10</xdr:row>
      <xdr:rowOff>198120</xdr:rowOff>
    </xdr:to>
    <xdr:pic>
      <xdr:nvPicPr>
        <xdr:cNvPr id="4113" name="Picture 17" descr="Helmet wearing Signs">
          <a:extLst>
            <a:ext uri="{FF2B5EF4-FFF2-40B4-BE49-F238E27FC236}">
              <a16:creationId xmlns:a16="http://schemas.microsoft.com/office/drawing/2014/main" id="{00000000-0008-0000-0000-00001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" y="1630680"/>
          <a:ext cx="89154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68580</xdr:colOff>
      <xdr:row>8</xdr:row>
      <xdr:rowOff>53340</xdr:rowOff>
    </xdr:from>
    <xdr:to>
      <xdr:col>35</xdr:col>
      <xdr:colOff>129540</xdr:colOff>
      <xdr:row>10</xdr:row>
      <xdr:rowOff>213360</xdr:rowOff>
    </xdr:to>
    <xdr:pic>
      <xdr:nvPicPr>
        <xdr:cNvPr id="4114" name="Picture 18" descr="Gebotszeichen - Gehörschutz tragen">
          <a:extLs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638300"/>
          <a:ext cx="88392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60960</xdr:colOff>
      <xdr:row>8</xdr:row>
      <xdr:rowOff>38100</xdr:rowOff>
    </xdr:from>
    <xdr:to>
      <xdr:col>25</xdr:col>
      <xdr:colOff>122816</xdr:colOff>
      <xdr:row>10</xdr:row>
      <xdr:rowOff>190500</xdr:rowOff>
    </xdr:to>
    <xdr:pic>
      <xdr:nvPicPr>
        <xdr:cNvPr id="4116" name="Picture 20" descr="Warnweste anlegen">
          <a:extLs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760" y="1623060"/>
          <a:ext cx="89154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38847</xdr:colOff>
      <xdr:row>8</xdr:row>
      <xdr:rowOff>53340</xdr:rowOff>
    </xdr:from>
    <xdr:to>
      <xdr:col>40</xdr:col>
      <xdr:colOff>96819</xdr:colOff>
      <xdr:row>10</xdr:row>
      <xdr:rowOff>213360</xdr:rowOff>
    </xdr:to>
    <xdr:pic>
      <xdr:nvPicPr>
        <xdr:cNvPr id="4117" name="Picture 21" descr="Gebotszeichen - Leichten Atemschutz tragen">
          <a:extLst>
            <a:ext uri="{FF2B5EF4-FFF2-40B4-BE49-F238E27FC236}">
              <a16:creationId xmlns:a16="http://schemas.microsoft.com/office/drawing/2014/main" id="{00000000-0008-0000-00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6788" y="1678193"/>
          <a:ext cx="894678" cy="653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68580</xdr:colOff>
      <xdr:row>8</xdr:row>
      <xdr:rowOff>45720</xdr:rowOff>
    </xdr:from>
    <xdr:to>
      <xdr:col>45</xdr:col>
      <xdr:colOff>139401</xdr:colOff>
      <xdr:row>10</xdr:row>
      <xdr:rowOff>198120</xdr:rowOff>
    </xdr:to>
    <xdr:pic>
      <xdr:nvPicPr>
        <xdr:cNvPr id="4118" name="Picture 22" descr="Warnung vor giftigen Stoffen (Totenkopf-Symbol)">
          <a:extLs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8180" y="1630680"/>
          <a:ext cx="89154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35</xdr:col>
      <xdr:colOff>106680</xdr:colOff>
      <xdr:row>14</xdr:row>
      <xdr:rowOff>11927</xdr:rowOff>
    </xdr:to>
    <xdr:sp macro="" textlink="">
      <xdr:nvSpPr>
        <xdr:cNvPr id="4119" name="AutoShape 23" descr="2Q==">
          <a:extLst>
            <a:ext uri="{FF2B5EF4-FFF2-40B4-BE49-F238E27FC236}">
              <a16:creationId xmlns:a16="http://schemas.microsoft.com/office/drawing/2014/main" id="{00000000-0008-0000-0000-000017100000}"/>
            </a:ext>
          </a:extLst>
        </xdr:cNvPr>
        <xdr:cNvSpPr>
          <a:spLocks noChangeAspect="1" noChangeArrowheads="1"/>
        </xdr:cNvSpPr>
      </xdr:nvSpPr>
      <xdr:spPr bwMode="auto">
        <a:xfrm>
          <a:off x="6583680" y="2804160"/>
          <a:ext cx="31242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37</xdr:col>
      <xdr:colOff>0</xdr:colOff>
      <xdr:row>16</xdr:row>
      <xdr:rowOff>0</xdr:rowOff>
    </xdr:from>
    <xdr:to>
      <xdr:col>38</xdr:col>
      <xdr:colOff>106680</xdr:colOff>
      <xdr:row>16</xdr:row>
      <xdr:rowOff>301819</xdr:rowOff>
    </xdr:to>
    <xdr:sp macro="" textlink="">
      <xdr:nvSpPr>
        <xdr:cNvPr id="4120" name="AutoShape 24" descr="2Q==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7406640" y="3535680"/>
          <a:ext cx="31242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144780</xdr:colOff>
      <xdr:row>8</xdr:row>
      <xdr:rowOff>45720</xdr:rowOff>
    </xdr:from>
    <xdr:to>
      <xdr:col>50</xdr:col>
      <xdr:colOff>38101</xdr:colOff>
      <xdr:row>10</xdr:row>
      <xdr:rowOff>198120</xdr:rowOff>
    </xdr:to>
    <xdr:pic>
      <xdr:nvPicPr>
        <xdr:cNvPr id="4121" name="Picture 25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3080" y="1630680"/>
          <a:ext cx="716280" cy="6400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27</xdr:col>
      <xdr:colOff>30480</xdr:colOff>
      <xdr:row>24</xdr:row>
      <xdr:rowOff>30480</xdr:rowOff>
    </xdr:from>
    <xdr:to>
      <xdr:col>28</xdr:col>
      <xdr:colOff>0</xdr:colOff>
      <xdr:row>24</xdr:row>
      <xdr:rowOff>213360</xdr:rowOff>
    </xdr:to>
    <xdr:pic>
      <xdr:nvPicPr>
        <xdr:cNvPr id="4126" name="Picture 30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9720" y="5516880"/>
          <a:ext cx="175260" cy="1828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27</xdr:col>
      <xdr:colOff>30480</xdr:colOff>
      <xdr:row>24</xdr:row>
      <xdr:rowOff>30480</xdr:rowOff>
    </xdr:from>
    <xdr:to>
      <xdr:col>28</xdr:col>
      <xdr:colOff>38100</xdr:colOff>
      <xdr:row>24</xdr:row>
      <xdr:rowOff>220980</xdr:rowOff>
    </xdr:to>
    <xdr:pic>
      <xdr:nvPicPr>
        <xdr:cNvPr id="4127" name="Picture 31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9720" y="5516880"/>
          <a:ext cx="21336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45</xdr:col>
      <xdr:colOff>149088</xdr:colOff>
      <xdr:row>1</xdr:row>
      <xdr:rowOff>67255</xdr:rowOff>
    </xdr:from>
    <xdr:to>
      <xdr:col>48</xdr:col>
      <xdr:colOff>22198</xdr:colOff>
      <xdr:row>3</xdr:row>
      <xdr:rowOff>97735</xdr:rowOff>
    </xdr:to>
    <xdr:grpSp>
      <xdr:nvGrpSpPr>
        <xdr:cNvPr id="4128" name="Group 2">
          <a:extLs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GrpSpPr>
          <a:grpSpLocks/>
        </xdr:cNvGrpSpPr>
      </xdr:nvGrpSpPr>
      <xdr:grpSpPr bwMode="auto">
        <a:xfrm>
          <a:off x="9333909" y="244148"/>
          <a:ext cx="485432" cy="384266"/>
          <a:chOff x="3282" y="4353"/>
          <a:chExt cx="1008" cy="864"/>
        </a:xfrm>
      </xdr:grpSpPr>
      <xdr:sp macro="" textlink="">
        <xdr:nvSpPr>
          <xdr:cNvPr id="4129" name="Oval 3">
            <a:extLst>
              <a:ext uri="{FF2B5EF4-FFF2-40B4-BE49-F238E27FC236}">
                <a16:creationId xmlns:a16="http://schemas.microsoft.com/office/drawing/2014/main" id="{00000000-0008-0000-0000-000021100000}"/>
              </a:ext>
            </a:extLst>
          </xdr:cNvPr>
          <xdr:cNvSpPr>
            <a:spLocks noChangeArrowheads="1"/>
          </xdr:cNvSpPr>
        </xdr:nvSpPr>
        <xdr:spPr bwMode="auto">
          <a:xfrm>
            <a:off x="3282" y="4353"/>
            <a:ext cx="1008" cy="86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30" name="AutoShape 4">
            <a:extLst>
              <a:ext uri="{FF2B5EF4-FFF2-40B4-BE49-F238E27FC236}">
                <a16:creationId xmlns:a16="http://schemas.microsoft.com/office/drawing/2014/main" id="{00000000-0008-0000-0000-000022100000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3426" y="4497"/>
            <a:ext cx="720" cy="720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48</xdr:col>
          <xdr:colOff>123825</xdr:colOff>
          <xdr:row>2</xdr:row>
          <xdr:rowOff>114300</xdr:rowOff>
        </xdr:from>
        <xdr:to>
          <xdr:col>49</xdr:col>
          <xdr:colOff>190500</xdr:colOff>
          <xdr:row>3</xdr:row>
          <xdr:rowOff>161925</xdr:rowOff>
        </xdr:to>
        <xdr:sp macro="" textlink="">
          <xdr:nvSpPr>
            <xdr:cNvPr id="4131" name="Check Box 35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00000000-0008-0000-0000-00002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</xdr:col>
          <xdr:colOff>123825</xdr:colOff>
          <xdr:row>1</xdr:row>
          <xdr:rowOff>66675</xdr:rowOff>
        </xdr:from>
        <xdr:to>
          <xdr:col>49</xdr:col>
          <xdr:colOff>190500</xdr:colOff>
          <xdr:row>2</xdr:row>
          <xdr:rowOff>95250</xdr:rowOff>
        </xdr:to>
        <xdr:sp macro="" textlink="">
          <xdr:nvSpPr>
            <xdr:cNvPr id="4132" name="Check Box 36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00000000-0008-0000-0000-00002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</a:t>
              </a:r>
            </a:p>
          </xdr:txBody>
        </xdr:sp>
        <xdr:clientData/>
      </xdr:twoCellAnchor>
    </mc:Choice>
    <mc:Fallback/>
  </mc:AlternateContent>
  <xdr:twoCellAnchor>
    <xdr:from>
      <xdr:col>45</xdr:col>
      <xdr:colOff>173936</xdr:colOff>
      <xdr:row>32</xdr:row>
      <xdr:rowOff>91110</xdr:rowOff>
    </xdr:from>
    <xdr:to>
      <xdr:col>48</xdr:col>
      <xdr:colOff>13916</xdr:colOff>
      <xdr:row>35</xdr:row>
      <xdr:rowOff>31476</xdr:rowOff>
    </xdr:to>
    <xdr:grpSp>
      <xdr:nvGrpSpPr>
        <xdr:cNvPr id="4136" name="Group 40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GrpSpPr>
          <a:grpSpLocks/>
        </xdr:cNvGrpSpPr>
      </xdr:nvGrpSpPr>
      <xdr:grpSpPr bwMode="auto">
        <a:xfrm>
          <a:off x="9358757" y="7901610"/>
          <a:ext cx="452302" cy="443830"/>
          <a:chOff x="3282" y="4353"/>
          <a:chExt cx="1008" cy="864"/>
        </a:xfrm>
      </xdr:grpSpPr>
      <xdr:sp macro="" textlink="">
        <xdr:nvSpPr>
          <xdr:cNvPr id="4137" name="Oval 3">
            <a:extLst>
              <a:ext uri="{FF2B5EF4-FFF2-40B4-BE49-F238E27FC236}">
                <a16:creationId xmlns:a16="http://schemas.microsoft.com/office/drawing/2014/main" id="{00000000-0008-0000-0000-000029100000}"/>
              </a:ext>
            </a:extLst>
          </xdr:cNvPr>
          <xdr:cNvSpPr>
            <a:spLocks noChangeArrowheads="1"/>
          </xdr:cNvSpPr>
        </xdr:nvSpPr>
        <xdr:spPr bwMode="auto">
          <a:xfrm>
            <a:off x="3282" y="4353"/>
            <a:ext cx="1008" cy="86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38" name="AutoShape 4">
            <a:extLst>
              <a:ext uri="{FF2B5EF4-FFF2-40B4-BE49-F238E27FC236}">
                <a16:creationId xmlns:a16="http://schemas.microsoft.com/office/drawing/2014/main" id="{00000000-0008-0000-0000-00002A100000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3426" y="4497"/>
            <a:ext cx="720" cy="720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48</xdr:col>
          <xdr:colOff>76200</xdr:colOff>
          <xdr:row>34</xdr:row>
          <xdr:rowOff>28575</xdr:rowOff>
        </xdr:from>
        <xdr:to>
          <xdr:col>49</xdr:col>
          <xdr:colOff>180975</xdr:colOff>
          <xdr:row>35</xdr:row>
          <xdr:rowOff>76200</xdr:rowOff>
        </xdr:to>
        <xdr:sp macro="" textlink="">
          <xdr:nvSpPr>
            <xdr:cNvPr id="4139" name="Check Box 43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00000000-0008-0000-0000-00002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</xdr:col>
          <xdr:colOff>76200</xdr:colOff>
          <xdr:row>32</xdr:row>
          <xdr:rowOff>104775</xdr:rowOff>
        </xdr:from>
        <xdr:to>
          <xdr:col>49</xdr:col>
          <xdr:colOff>180975</xdr:colOff>
          <xdr:row>33</xdr:row>
          <xdr:rowOff>152400</xdr:rowOff>
        </xdr:to>
        <xdr:sp macro="" textlink="">
          <xdr:nvSpPr>
            <xdr:cNvPr id="4140" name="Check Box 44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00000000-0008-0000-0000-00002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</a:t>
              </a:r>
            </a:p>
          </xdr:txBody>
        </xdr:sp>
        <xdr:clientData/>
      </xdr:twoCellAnchor>
    </mc:Choice>
    <mc:Fallback/>
  </mc:AlternateContent>
  <xdr:twoCellAnchor editAs="oneCell">
    <xdr:from>
      <xdr:col>34</xdr:col>
      <xdr:colOff>0</xdr:colOff>
      <xdr:row>13</xdr:row>
      <xdr:rowOff>0</xdr:rowOff>
    </xdr:from>
    <xdr:to>
      <xdr:col>35</xdr:col>
      <xdr:colOff>106680</xdr:colOff>
      <xdr:row>14</xdr:row>
      <xdr:rowOff>11927</xdr:rowOff>
    </xdr:to>
    <xdr:sp macro="" textlink="">
      <xdr:nvSpPr>
        <xdr:cNvPr id="4141" name="AutoShape 45" descr="2Q==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SpPr>
          <a:spLocks noChangeAspect="1" noChangeArrowheads="1"/>
        </xdr:cNvSpPr>
      </xdr:nvSpPr>
      <xdr:spPr bwMode="auto">
        <a:xfrm>
          <a:off x="6583680" y="2804160"/>
          <a:ext cx="31242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34</xdr:col>
      <xdr:colOff>0</xdr:colOff>
      <xdr:row>14</xdr:row>
      <xdr:rowOff>0</xdr:rowOff>
    </xdr:from>
    <xdr:to>
      <xdr:col>35</xdr:col>
      <xdr:colOff>106680</xdr:colOff>
      <xdr:row>15</xdr:row>
      <xdr:rowOff>53339</xdr:rowOff>
    </xdr:to>
    <xdr:sp macro="" textlink="">
      <xdr:nvSpPr>
        <xdr:cNvPr id="4142" name="AutoShape 46" descr="2Q==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SpPr>
          <a:spLocks noChangeAspect="1" noChangeArrowheads="1"/>
        </xdr:cNvSpPr>
      </xdr:nvSpPr>
      <xdr:spPr bwMode="auto">
        <a:xfrm>
          <a:off x="6583680" y="3048000"/>
          <a:ext cx="31242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34</xdr:col>
      <xdr:colOff>0</xdr:colOff>
      <xdr:row>13</xdr:row>
      <xdr:rowOff>0</xdr:rowOff>
    </xdr:from>
    <xdr:to>
      <xdr:col>35</xdr:col>
      <xdr:colOff>106680</xdr:colOff>
      <xdr:row>14</xdr:row>
      <xdr:rowOff>11927</xdr:rowOff>
    </xdr:to>
    <xdr:sp macro="" textlink="">
      <xdr:nvSpPr>
        <xdr:cNvPr id="4143" name="AutoShape 47" descr="2Q==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83680" y="2804160"/>
          <a:ext cx="31242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34</xdr:col>
      <xdr:colOff>0</xdr:colOff>
      <xdr:row>13</xdr:row>
      <xdr:rowOff>0</xdr:rowOff>
    </xdr:from>
    <xdr:to>
      <xdr:col>35</xdr:col>
      <xdr:colOff>106680</xdr:colOff>
      <xdr:row>14</xdr:row>
      <xdr:rowOff>11927</xdr:rowOff>
    </xdr:to>
    <xdr:sp macro="" textlink="">
      <xdr:nvSpPr>
        <xdr:cNvPr id="4144" name="AutoShape 48" descr="2Q==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83680" y="2804160"/>
          <a:ext cx="31242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34</xdr:col>
      <xdr:colOff>0</xdr:colOff>
      <xdr:row>14</xdr:row>
      <xdr:rowOff>0</xdr:rowOff>
    </xdr:from>
    <xdr:to>
      <xdr:col>35</xdr:col>
      <xdr:colOff>106680</xdr:colOff>
      <xdr:row>15</xdr:row>
      <xdr:rowOff>53339</xdr:rowOff>
    </xdr:to>
    <xdr:sp macro="" textlink="">
      <xdr:nvSpPr>
        <xdr:cNvPr id="4145" name="AutoShape 49" descr="2Q==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83680" y="3048000"/>
          <a:ext cx="31242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34</xdr:col>
      <xdr:colOff>0</xdr:colOff>
      <xdr:row>14</xdr:row>
      <xdr:rowOff>0</xdr:rowOff>
    </xdr:from>
    <xdr:to>
      <xdr:col>35</xdr:col>
      <xdr:colOff>106680</xdr:colOff>
      <xdr:row>15</xdr:row>
      <xdr:rowOff>53339</xdr:rowOff>
    </xdr:to>
    <xdr:sp macro="" textlink="">
      <xdr:nvSpPr>
        <xdr:cNvPr id="4146" name="AutoShape 50" descr="2Q==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83680" y="3048000"/>
          <a:ext cx="31242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34</xdr:col>
      <xdr:colOff>0</xdr:colOff>
      <xdr:row>65</xdr:row>
      <xdr:rowOff>0</xdr:rowOff>
    </xdr:from>
    <xdr:to>
      <xdr:col>35</xdr:col>
      <xdr:colOff>106680</xdr:colOff>
      <xdr:row>66</xdr:row>
      <xdr:rowOff>62153</xdr:rowOff>
    </xdr:to>
    <xdr:sp macro="" textlink="">
      <xdr:nvSpPr>
        <xdr:cNvPr id="4225" name="AutoShape 129" descr="2Q==">
          <a:extLst>
            <a:ext uri="{FF2B5EF4-FFF2-40B4-BE49-F238E27FC236}">
              <a16:creationId xmlns:a16="http://schemas.microsoft.com/office/drawing/2014/main" id="{00000000-0008-0000-0000-000081100000}"/>
            </a:ext>
          </a:extLst>
        </xdr:cNvPr>
        <xdr:cNvSpPr>
          <a:spLocks noChangeAspect="1" noChangeArrowheads="1"/>
        </xdr:cNvSpPr>
      </xdr:nvSpPr>
      <xdr:spPr bwMode="auto">
        <a:xfrm>
          <a:off x="6583680" y="22387560"/>
          <a:ext cx="31242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37</xdr:col>
      <xdr:colOff>0</xdr:colOff>
      <xdr:row>65</xdr:row>
      <xdr:rowOff>0</xdr:rowOff>
    </xdr:from>
    <xdr:to>
      <xdr:col>38</xdr:col>
      <xdr:colOff>106680</xdr:colOff>
      <xdr:row>66</xdr:row>
      <xdr:rowOff>62153</xdr:rowOff>
    </xdr:to>
    <xdr:sp macro="" textlink="">
      <xdr:nvSpPr>
        <xdr:cNvPr id="4226" name="AutoShape 130" descr="2Q==">
          <a:extLst>
            <a:ext uri="{FF2B5EF4-FFF2-40B4-BE49-F238E27FC236}">
              <a16:creationId xmlns:a16="http://schemas.microsoft.com/office/drawing/2014/main" id="{00000000-0008-0000-0000-000082100000}"/>
            </a:ext>
          </a:extLst>
        </xdr:cNvPr>
        <xdr:cNvSpPr>
          <a:spLocks noChangeAspect="1" noChangeArrowheads="1"/>
        </xdr:cNvSpPr>
      </xdr:nvSpPr>
      <xdr:spPr bwMode="auto">
        <a:xfrm>
          <a:off x="7406640" y="22387560"/>
          <a:ext cx="31242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34</xdr:col>
      <xdr:colOff>0</xdr:colOff>
      <xdr:row>65</xdr:row>
      <xdr:rowOff>0</xdr:rowOff>
    </xdr:from>
    <xdr:to>
      <xdr:col>35</xdr:col>
      <xdr:colOff>106680</xdr:colOff>
      <xdr:row>66</xdr:row>
      <xdr:rowOff>62153</xdr:rowOff>
    </xdr:to>
    <xdr:sp macro="" textlink="">
      <xdr:nvSpPr>
        <xdr:cNvPr id="4245" name="AutoShape 149" descr="2Q==">
          <a:extLst>
            <a:ext uri="{FF2B5EF4-FFF2-40B4-BE49-F238E27FC236}">
              <a16:creationId xmlns:a16="http://schemas.microsoft.com/office/drawing/2014/main" id="{00000000-0008-0000-0000-000095100000}"/>
            </a:ext>
          </a:extLst>
        </xdr:cNvPr>
        <xdr:cNvSpPr>
          <a:spLocks noChangeAspect="1" noChangeArrowheads="1"/>
        </xdr:cNvSpPr>
      </xdr:nvSpPr>
      <xdr:spPr bwMode="auto">
        <a:xfrm>
          <a:off x="6583680" y="22387560"/>
          <a:ext cx="31242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34</xdr:col>
      <xdr:colOff>0</xdr:colOff>
      <xdr:row>65</xdr:row>
      <xdr:rowOff>0</xdr:rowOff>
    </xdr:from>
    <xdr:to>
      <xdr:col>35</xdr:col>
      <xdr:colOff>106680</xdr:colOff>
      <xdr:row>66</xdr:row>
      <xdr:rowOff>62153</xdr:rowOff>
    </xdr:to>
    <xdr:sp macro="" textlink="">
      <xdr:nvSpPr>
        <xdr:cNvPr id="4246" name="AutoShape 150" descr="2Q==">
          <a:extLst>
            <a:ext uri="{FF2B5EF4-FFF2-40B4-BE49-F238E27FC236}">
              <a16:creationId xmlns:a16="http://schemas.microsoft.com/office/drawing/2014/main" id="{00000000-0008-0000-0000-000096100000}"/>
            </a:ext>
          </a:extLst>
        </xdr:cNvPr>
        <xdr:cNvSpPr>
          <a:spLocks noChangeAspect="1" noChangeArrowheads="1"/>
        </xdr:cNvSpPr>
      </xdr:nvSpPr>
      <xdr:spPr bwMode="auto">
        <a:xfrm>
          <a:off x="6583680" y="22387560"/>
          <a:ext cx="31242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34</xdr:col>
      <xdr:colOff>0</xdr:colOff>
      <xdr:row>65</xdr:row>
      <xdr:rowOff>0</xdr:rowOff>
    </xdr:from>
    <xdr:to>
      <xdr:col>35</xdr:col>
      <xdr:colOff>106680</xdr:colOff>
      <xdr:row>66</xdr:row>
      <xdr:rowOff>62153</xdr:rowOff>
    </xdr:to>
    <xdr:sp macro="" textlink="">
      <xdr:nvSpPr>
        <xdr:cNvPr id="4247" name="AutoShape 151" descr="2Q==">
          <a:extLst>
            <a:ext uri="{FF2B5EF4-FFF2-40B4-BE49-F238E27FC236}">
              <a16:creationId xmlns:a16="http://schemas.microsoft.com/office/drawing/2014/main" id="{00000000-0008-0000-0000-000097100000}"/>
            </a:ext>
          </a:extLst>
        </xdr:cNvPr>
        <xdr:cNvSpPr>
          <a:spLocks noChangeAspect="1" noChangeArrowheads="1"/>
        </xdr:cNvSpPr>
      </xdr:nvSpPr>
      <xdr:spPr bwMode="auto">
        <a:xfrm>
          <a:off x="6583680" y="22387560"/>
          <a:ext cx="31242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34</xdr:col>
      <xdr:colOff>0</xdr:colOff>
      <xdr:row>65</xdr:row>
      <xdr:rowOff>0</xdr:rowOff>
    </xdr:from>
    <xdr:to>
      <xdr:col>35</xdr:col>
      <xdr:colOff>106680</xdr:colOff>
      <xdr:row>66</xdr:row>
      <xdr:rowOff>62153</xdr:rowOff>
    </xdr:to>
    <xdr:sp macro="" textlink="">
      <xdr:nvSpPr>
        <xdr:cNvPr id="4248" name="AutoShape 152" descr="2Q==">
          <a:extLst>
            <a:ext uri="{FF2B5EF4-FFF2-40B4-BE49-F238E27FC236}">
              <a16:creationId xmlns:a16="http://schemas.microsoft.com/office/drawing/2014/main" id="{00000000-0008-0000-00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83680" y="22387560"/>
          <a:ext cx="31242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34</xdr:col>
      <xdr:colOff>0</xdr:colOff>
      <xdr:row>65</xdr:row>
      <xdr:rowOff>0</xdr:rowOff>
    </xdr:from>
    <xdr:to>
      <xdr:col>35</xdr:col>
      <xdr:colOff>106680</xdr:colOff>
      <xdr:row>66</xdr:row>
      <xdr:rowOff>62153</xdr:rowOff>
    </xdr:to>
    <xdr:sp macro="" textlink="">
      <xdr:nvSpPr>
        <xdr:cNvPr id="4249" name="AutoShape 153" descr="2Q==">
          <a:extLst>
            <a:ext uri="{FF2B5EF4-FFF2-40B4-BE49-F238E27FC236}">
              <a16:creationId xmlns:a16="http://schemas.microsoft.com/office/drawing/2014/main" id="{00000000-0008-0000-00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83680" y="22387560"/>
          <a:ext cx="31242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34</xdr:col>
      <xdr:colOff>0</xdr:colOff>
      <xdr:row>65</xdr:row>
      <xdr:rowOff>0</xdr:rowOff>
    </xdr:from>
    <xdr:to>
      <xdr:col>35</xdr:col>
      <xdr:colOff>106680</xdr:colOff>
      <xdr:row>66</xdr:row>
      <xdr:rowOff>62153</xdr:rowOff>
    </xdr:to>
    <xdr:sp macro="" textlink="">
      <xdr:nvSpPr>
        <xdr:cNvPr id="4250" name="AutoShape 154" descr="2Q==">
          <a:extLst>
            <a:ext uri="{FF2B5EF4-FFF2-40B4-BE49-F238E27FC236}">
              <a16:creationId xmlns:a16="http://schemas.microsoft.com/office/drawing/2014/main" id="{00000000-0008-0000-00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83680" y="22387560"/>
          <a:ext cx="31242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127553</xdr:colOff>
      <xdr:row>0</xdr:row>
      <xdr:rowOff>17929</xdr:rowOff>
    </xdr:from>
    <xdr:to>
      <xdr:col>4</xdr:col>
      <xdr:colOff>46872</xdr:colOff>
      <xdr:row>3</xdr:row>
      <xdr:rowOff>12603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53" y="17929"/>
          <a:ext cx="714449" cy="541326"/>
        </a:xfrm>
        <a:prstGeom prst="rect">
          <a:avLst/>
        </a:prstGeom>
      </xdr:spPr>
    </xdr:pic>
    <xdr:clientData/>
  </xdr:twoCellAnchor>
  <xdr:twoCellAnchor editAs="oneCell">
    <xdr:from>
      <xdr:col>0</xdr:col>
      <xdr:colOff>154546</xdr:colOff>
      <xdr:row>32</xdr:row>
      <xdr:rowOff>19294</xdr:rowOff>
    </xdr:from>
    <xdr:to>
      <xdr:col>4</xdr:col>
      <xdr:colOff>0</xdr:colOff>
      <xdr:row>34</xdr:row>
      <xdr:rowOff>169513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546" y="7589598"/>
          <a:ext cx="640584" cy="48152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200025</xdr:colOff>
          <xdr:row>12</xdr:row>
          <xdr:rowOff>9525</xdr:rowOff>
        </xdr:from>
        <xdr:to>
          <xdr:col>47</xdr:col>
          <xdr:colOff>57150</xdr:colOff>
          <xdr:row>12</xdr:row>
          <xdr:rowOff>228600</xdr:rowOff>
        </xdr:to>
        <xdr:sp macro="" textlink="">
          <xdr:nvSpPr>
            <xdr:cNvPr id="4" name="Check Box 47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200025</xdr:colOff>
          <xdr:row>13</xdr:row>
          <xdr:rowOff>19050</xdr:rowOff>
        </xdr:from>
        <xdr:to>
          <xdr:col>47</xdr:col>
          <xdr:colOff>66675</xdr:colOff>
          <xdr:row>13</xdr:row>
          <xdr:rowOff>247650</xdr:rowOff>
        </xdr:to>
        <xdr:sp macro="" textlink="">
          <xdr:nvSpPr>
            <xdr:cNvPr id="5" name="Check Box 48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</xdr:col>
          <xdr:colOff>28575</xdr:colOff>
          <xdr:row>12</xdr:row>
          <xdr:rowOff>9525</xdr:rowOff>
        </xdr:from>
        <xdr:to>
          <xdr:col>49</xdr:col>
          <xdr:colOff>85725</xdr:colOff>
          <xdr:row>12</xdr:row>
          <xdr:rowOff>228600</xdr:rowOff>
        </xdr:to>
        <xdr:sp macro="" textlink="">
          <xdr:nvSpPr>
            <xdr:cNvPr id="6" name="Check Box 49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</xdr:col>
          <xdr:colOff>19050</xdr:colOff>
          <xdr:row>13</xdr:row>
          <xdr:rowOff>19050</xdr:rowOff>
        </xdr:from>
        <xdr:to>
          <xdr:col>49</xdr:col>
          <xdr:colOff>85725</xdr:colOff>
          <xdr:row>13</xdr:row>
          <xdr:rowOff>247650</xdr:rowOff>
        </xdr:to>
        <xdr:sp macro="" textlink="">
          <xdr:nvSpPr>
            <xdr:cNvPr id="7" name="Check Box 50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183932</xdr:colOff>
      <xdr:row>24</xdr:row>
      <xdr:rowOff>26276</xdr:rowOff>
    </xdr:from>
    <xdr:to>
      <xdr:col>10</xdr:col>
      <xdr:colOff>139322</xdr:colOff>
      <xdr:row>24</xdr:row>
      <xdr:rowOff>229914</xdr:rowOff>
    </xdr:to>
    <xdr:pic>
      <xdr:nvPicPr>
        <xdr:cNvPr id="49" name="Image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484" y="5767552"/>
          <a:ext cx="349528" cy="203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19707</xdr:colOff>
      <xdr:row>24</xdr:row>
      <xdr:rowOff>26276</xdr:rowOff>
    </xdr:from>
    <xdr:to>
      <xdr:col>16</xdr:col>
      <xdr:colOff>137949</xdr:colOff>
      <xdr:row>24</xdr:row>
      <xdr:rowOff>236483</xdr:rowOff>
    </xdr:to>
    <xdr:pic>
      <xdr:nvPicPr>
        <xdr:cNvPr id="50" name="Image 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23" t="6351" r="2556" b="7323"/>
        <a:stretch/>
      </xdr:blipFill>
      <xdr:spPr bwMode="auto">
        <a:xfrm>
          <a:off x="2975741" y="5767552"/>
          <a:ext cx="315311" cy="21020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19707</xdr:colOff>
      <xdr:row>24</xdr:row>
      <xdr:rowOff>26277</xdr:rowOff>
    </xdr:from>
    <xdr:to>
      <xdr:col>22</xdr:col>
      <xdr:colOff>124811</xdr:colOff>
      <xdr:row>24</xdr:row>
      <xdr:rowOff>229915</xdr:rowOff>
    </xdr:to>
    <xdr:pic>
      <xdr:nvPicPr>
        <xdr:cNvPr id="51" name="Image 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10" t="14466" r="14384" b="13836"/>
        <a:stretch/>
      </xdr:blipFill>
      <xdr:spPr bwMode="auto">
        <a:xfrm>
          <a:off x="4158155" y="5767553"/>
          <a:ext cx="302173" cy="20363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32845</xdr:colOff>
      <xdr:row>24</xdr:row>
      <xdr:rowOff>26276</xdr:rowOff>
    </xdr:from>
    <xdr:to>
      <xdr:col>34</xdr:col>
      <xdr:colOff>183932</xdr:colOff>
      <xdr:row>24</xdr:row>
      <xdr:rowOff>233103</xdr:rowOff>
    </xdr:to>
    <xdr:pic>
      <xdr:nvPicPr>
        <xdr:cNvPr id="52" name="Image 10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76" t="23199" r="4479" b="11923"/>
        <a:stretch/>
      </xdr:blipFill>
      <xdr:spPr bwMode="auto">
        <a:xfrm>
          <a:off x="6549259" y="5767552"/>
          <a:ext cx="348156" cy="20682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200025</xdr:colOff>
          <xdr:row>18</xdr:row>
          <xdr:rowOff>161925</xdr:rowOff>
        </xdr:from>
        <xdr:to>
          <xdr:col>60</xdr:col>
          <xdr:colOff>0</xdr:colOff>
          <xdr:row>21</xdr:row>
          <xdr:rowOff>209550</xdr:rowOff>
        </xdr:to>
        <xdr:sp macro="" textlink="">
          <xdr:nvSpPr>
            <xdr:cNvPr id="4151" name="Button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00000000-0008-0000-0000-00003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600" b="1" i="0" u="none" strike="noStrike" baseline="0">
                  <a:solidFill>
                    <a:srgbClr val="000000"/>
                  </a:solidFill>
                  <a:latin typeface="Montserrat"/>
                </a:rPr>
                <a:t>Ajouter une page au SOS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</xdr:col>
      <xdr:colOff>91440</xdr:colOff>
      <xdr:row>18</xdr:row>
      <xdr:rowOff>53340</xdr:rowOff>
    </xdr:to>
    <xdr:sp macro="" textlink="">
      <xdr:nvSpPr>
        <xdr:cNvPr id="5130" name="AutoShape 10" descr="2Q==">
          <a:extLst>
            <a:ext uri="{FF2B5EF4-FFF2-40B4-BE49-F238E27FC236}">
              <a16:creationId xmlns:a16="http://schemas.microsoft.com/office/drawing/2014/main" id="{00000000-0008-0000-0100-00000A140000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"/>
          <a:ext cx="32004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25</xdr:row>
      <xdr:rowOff>83820</xdr:rowOff>
    </xdr:from>
    <xdr:to>
      <xdr:col>0</xdr:col>
      <xdr:colOff>0</xdr:colOff>
      <xdr:row>25</xdr:row>
      <xdr:rowOff>190500</xdr:rowOff>
    </xdr:to>
    <xdr:pic>
      <xdr:nvPicPr>
        <xdr:cNvPr id="5134" name="Picture 14">
          <a:extLst>
            <a:ext uri="{FF2B5EF4-FFF2-40B4-BE49-F238E27FC236}">
              <a16:creationId xmlns:a16="http://schemas.microsoft.com/office/drawing/2014/main" id="{00000000-0008-0000-0100-00000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4060"/>
          <a:ext cx="0" cy="1066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0000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30480</xdr:rowOff>
    </xdr:from>
    <xdr:to>
      <xdr:col>0</xdr:col>
      <xdr:colOff>0</xdr:colOff>
      <xdr:row>25</xdr:row>
      <xdr:rowOff>198120</xdr:rowOff>
    </xdr:to>
    <xdr:pic>
      <xdr:nvPicPr>
        <xdr:cNvPr id="5135" name="Picture 15">
          <a:extLst>
            <a:ext uri="{FF2B5EF4-FFF2-40B4-BE49-F238E27FC236}">
              <a16:creationId xmlns:a16="http://schemas.microsoft.com/office/drawing/2014/main" id="{00000000-0008-0000-0100-00000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0720"/>
          <a:ext cx="0" cy="1676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0000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</xdr:row>
      <xdr:rowOff>83820</xdr:rowOff>
    </xdr:from>
    <xdr:to>
      <xdr:col>0</xdr:col>
      <xdr:colOff>0</xdr:colOff>
      <xdr:row>3</xdr:row>
      <xdr:rowOff>114300</xdr:rowOff>
    </xdr:to>
    <xdr:grpSp>
      <xdr:nvGrpSpPr>
        <xdr:cNvPr id="5139" name="Group 2">
          <a:extLst>
            <a:ext uri="{FF2B5EF4-FFF2-40B4-BE49-F238E27FC236}">
              <a16:creationId xmlns:a16="http://schemas.microsoft.com/office/drawing/2014/main" id="{00000000-0008-0000-0100-000013140000}"/>
            </a:ext>
          </a:extLst>
        </xdr:cNvPr>
        <xdr:cNvGrpSpPr>
          <a:grpSpLocks/>
        </xdr:cNvGrpSpPr>
      </xdr:nvGrpSpPr>
      <xdr:grpSpPr bwMode="auto">
        <a:xfrm>
          <a:off x="0" y="263114"/>
          <a:ext cx="0" cy="389068"/>
          <a:chOff x="3282" y="4353"/>
          <a:chExt cx="1008" cy="864"/>
        </a:xfrm>
      </xdr:grpSpPr>
      <xdr:sp macro="" textlink="">
        <xdr:nvSpPr>
          <xdr:cNvPr id="5140" name="Oval 3">
            <a:extLst>
              <a:ext uri="{FF2B5EF4-FFF2-40B4-BE49-F238E27FC236}">
                <a16:creationId xmlns:a16="http://schemas.microsoft.com/office/drawing/2014/main" id="{00000000-0008-0000-0100-000014140000}"/>
              </a:ext>
            </a:extLst>
          </xdr:cNvPr>
          <xdr:cNvSpPr>
            <a:spLocks noChangeArrowheads="1"/>
          </xdr:cNvSpPr>
        </xdr:nvSpPr>
        <xdr:spPr bwMode="auto">
          <a:xfrm>
            <a:off x="3282" y="4353"/>
            <a:ext cx="1008" cy="86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41" name="AutoShape 4">
            <a:extLst>
              <a:ext uri="{FF2B5EF4-FFF2-40B4-BE49-F238E27FC236}">
                <a16:creationId xmlns:a16="http://schemas.microsoft.com/office/drawing/2014/main" id="{00000000-0008-0000-0100-000015140000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3426" y="4497"/>
            <a:ext cx="720" cy="720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0</xdr:col>
      <xdr:colOff>0</xdr:colOff>
      <xdr:row>13</xdr:row>
      <xdr:rowOff>0</xdr:rowOff>
    </xdr:from>
    <xdr:to>
      <xdr:col>1</xdr:col>
      <xdr:colOff>91440</xdr:colOff>
      <xdr:row>14</xdr:row>
      <xdr:rowOff>53340</xdr:rowOff>
    </xdr:to>
    <xdr:sp macro="" textlink="">
      <xdr:nvSpPr>
        <xdr:cNvPr id="5157" name="AutoShape 37" descr="2Q==">
          <a:extLst>
            <a:ext uri="{FF2B5EF4-FFF2-40B4-BE49-F238E27FC236}">
              <a16:creationId xmlns:a16="http://schemas.microsoft.com/office/drawing/2014/main" id="{00000000-0008-0000-01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0" y="2804160"/>
          <a:ext cx="32004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1</xdr:col>
      <xdr:colOff>91440</xdr:colOff>
      <xdr:row>17</xdr:row>
      <xdr:rowOff>53340</xdr:rowOff>
    </xdr:to>
    <xdr:sp macro="" textlink="">
      <xdr:nvSpPr>
        <xdr:cNvPr id="5158" name="AutoShape 38" descr="2Q==">
          <a:extLst>
            <a:ext uri="{FF2B5EF4-FFF2-40B4-BE49-F238E27FC236}">
              <a16:creationId xmlns:a16="http://schemas.microsoft.com/office/drawing/2014/main" id="{00000000-0008-0000-01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0" y="3535680"/>
          <a:ext cx="32004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38100</xdr:colOff>
      <xdr:row>1</xdr:row>
      <xdr:rowOff>68580</xdr:rowOff>
    </xdr:from>
    <xdr:to>
      <xdr:col>12</xdr:col>
      <xdr:colOff>243840</xdr:colOff>
      <xdr:row>4</xdr:row>
      <xdr:rowOff>160020</xdr:rowOff>
    </xdr:to>
    <xdr:pic>
      <xdr:nvPicPr>
        <xdr:cNvPr id="5160" name="Picture 40">
          <a:extLst>
            <a:ext uri="{FF2B5EF4-FFF2-40B4-BE49-F238E27FC236}">
              <a16:creationId xmlns:a16="http://schemas.microsoft.com/office/drawing/2014/main" id="{00000000-0008-0000-0100-00002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243840"/>
          <a:ext cx="891540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12</xdr:col>
      <xdr:colOff>373380</xdr:colOff>
      <xdr:row>1</xdr:row>
      <xdr:rowOff>76200</xdr:rowOff>
    </xdr:from>
    <xdr:to>
      <xdr:col>14</xdr:col>
      <xdr:colOff>0</xdr:colOff>
      <xdr:row>4</xdr:row>
      <xdr:rowOff>167640</xdr:rowOff>
    </xdr:to>
    <xdr:pic>
      <xdr:nvPicPr>
        <xdr:cNvPr id="5161" name="Picture 41">
          <a:extLst>
            <a:ext uri="{FF2B5EF4-FFF2-40B4-BE49-F238E27FC236}">
              <a16:creationId xmlns:a16="http://schemas.microsoft.com/office/drawing/2014/main" id="{00000000-0008-0000-0100-00002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6580" y="251460"/>
          <a:ext cx="876300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14</xdr:col>
      <xdr:colOff>160020</xdr:colOff>
      <xdr:row>1</xdr:row>
      <xdr:rowOff>76200</xdr:rowOff>
    </xdr:from>
    <xdr:to>
      <xdr:col>15</xdr:col>
      <xdr:colOff>411480</xdr:colOff>
      <xdr:row>4</xdr:row>
      <xdr:rowOff>167640</xdr:rowOff>
    </xdr:to>
    <xdr:pic>
      <xdr:nvPicPr>
        <xdr:cNvPr id="5162" name="Picture 42">
          <a:extLst>
            <a:ext uri="{FF2B5EF4-FFF2-40B4-BE49-F238E27FC236}">
              <a16:creationId xmlns:a16="http://schemas.microsoft.com/office/drawing/2014/main" id="{00000000-0008-0000-0100-00002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251460"/>
          <a:ext cx="876300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15</xdr:col>
      <xdr:colOff>548640</xdr:colOff>
      <xdr:row>1</xdr:row>
      <xdr:rowOff>76200</xdr:rowOff>
    </xdr:from>
    <xdr:to>
      <xdr:col>17</xdr:col>
      <xdr:colOff>175260</xdr:colOff>
      <xdr:row>4</xdr:row>
      <xdr:rowOff>167640</xdr:rowOff>
    </xdr:to>
    <xdr:pic>
      <xdr:nvPicPr>
        <xdr:cNvPr id="5163" name="Picture 43">
          <a:extLst>
            <a:ext uri="{FF2B5EF4-FFF2-40B4-BE49-F238E27FC236}">
              <a16:creationId xmlns:a16="http://schemas.microsoft.com/office/drawing/2014/main" id="{00000000-0008-0000-0100-00002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6360" y="251460"/>
          <a:ext cx="876300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17</xdr:col>
      <xdr:colOff>335280</xdr:colOff>
      <xdr:row>1</xdr:row>
      <xdr:rowOff>83820</xdr:rowOff>
    </xdr:from>
    <xdr:to>
      <xdr:col>18</xdr:col>
      <xdr:colOff>586740</xdr:colOff>
      <xdr:row>4</xdr:row>
      <xdr:rowOff>182880</xdr:rowOff>
    </xdr:to>
    <xdr:pic>
      <xdr:nvPicPr>
        <xdr:cNvPr id="5164" name="Picture 44">
          <a:extLst>
            <a:ext uri="{FF2B5EF4-FFF2-40B4-BE49-F238E27FC236}">
              <a16:creationId xmlns:a16="http://schemas.microsoft.com/office/drawing/2014/main" id="{00000000-0008-0000-0100-00002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2680" y="259080"/>
          <a:ext cx="876300" cy="6248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19</xdr:col>
      <xdr:colOff>106680</xdr:colOff>
      <xdr:row>1</xdr:row>
      <xdr:rowOff>76200</xdr:rowOff>
    </xdr:from>
    <xdr:to>
      <xdr:col>20</xdr:col>
      <xdr:colOff>358140</xdr:colOff>
      <xdr:row>4</xdr:row>
      <xdr:rowOff>167640</xdr:rowOff>
    </xdr:to>
    <xdr:pic>
      <xdr:nvPicPr>
        <xdr:cNvPr id="5165" name="Picture 45">
          <a:extLst>
            <a:ext uri="{FF2B5EF4-FFF2-40B4-BE49-F238E27FC236}">
              <a16:creationId xmlns:a16="http://schemas.microsoft.com/office/drawing/2014/main" id="{00000000-0008-0000-0100-00002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51460"/>
          <a:ext cx="876300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20</xdr:col>
      <xdr:colOff>510540</xdr:colOff>
      <xdr:row>1</xdr:row>
      <xdr:rowOff>68580</xdr:rowOff>
    </xdr:from>
    <xdr:to>
      <xdr:col>22</xdr:col>
      <xdr:colOff>137160</xdr:colOff>
      <xdr:row>4</xdr:row>
      <xdr:rowOff>160020</xdr:rowOff>
    </xdr:to>
    <xdr:pic>
      <xdr:nvPicPr>
        <xdr:cNvPr id="5166" name="Picture 46">
          <a:extLst>
            <a:ext uri="{FF2B5EF4-FFF2-40B4-BE49-F238E27FC236}">
              <a16:creationId xmlns:a16="http://schemas.microsoft.com/office/drawing/2014/main" id="{00000000-0008-0000-0100-00002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2460" y="243840"/>
          <a:ext cx="876300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22</xdr:col>
      <xdr:colOff>411480</xdr:colOff>
      <xdr:row>1</xdr:row>
      <xdr:rowOff>76200</xdr:rowOff>
    </xdr:from>
    <xdr:to>
      <xdr:col>23</xdr:col>
      <xdr:colOff>487680</xdr:colOff>
      <xdr:row>4</xdr:row>
      <xdr:rowOff>167640</xdr:rowOff>
    </xdr:to>
    <xdr:pic>
      <xdr:nvPicPr>
        <xdr:cNvPr id="5167" name="Picture 47">
          <a:extLst>
            <a:ext uri="{FF2B5EF4-FFF2-40B4-BE49-F238E27FC236}">
              <a16:creationId xmlns:a16="http://schemas.microsoft.com/office/drawing/2014/main" id="{00000000-0008-0000-01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3080" y="251460"/>
          <a:ext cx="701040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129540</xdr:colOff>
      <xdr:row>1</xdr:row>
      <xdr:rowOff>76200</xdr:rowOff>
    </xdr:from>
    <xdr:to>
      <xdr:col>8</xdr:col>
      <xdr:colOff>106680</xdr:colOff>
      <xdr:row>4</xdr:row>
      <xdr:rowOff>167640</xdr:rowOff>
    </xdr:to>
    <xdr:pic>
      <xdr:nvPicPr>
        <xdr:cNvPr id="5168" name="Picture 48">
          <a:extLst>
            <a:ext uri="{FF2B5EF4-FFF2-40B4-BE49-F238E27FC236}">
              <a16:creationId xmlns:a16="http://schemas.microsoft.com/office/drawing/2014/main" id="{00000000-0008-0000-01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" y="251460"/>
          <a:ext cx="891540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1</xdr:row>
      <xdr:rowOff>68580</xdr:rowOff>
    </xdr:from>
    <xdr:to>
      <xdr:col>3</xdr:col>
      <xdr:colOff>205740</xdr:colOff>
      <xdr:row>4</xdr:row>
      <xdr:rowOff>160020</xdr:rowOff>
    </xdr:to>
    <xdr:pic>
      <xdr:nvPicPr>
        <xdr:cNvPr id="5169" name="Picture 49">
          <a:extLst>
            <a:ext uri="{FF2B5EF4-FFF2-40B4-BE49-F238E27FC236}">
              <a16:creationId xmlns:a16="http://schemas.microsoft.com/office/drawing/2014/main" id="{00000000-0008-0000-01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40"/>
          <a:ext cx="891540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22860</xdr:colOff>
      <xdr:row>8</xdr:row>
      <xdr:rowOff>45720</xdr:rowOff>
    </xdr:from>
    <xdr:to>
      <xdr:col>4</xdr:col>
      <xdr:colOff>7620</xdr:colOff>
      <xdr:row>10</xdr:row>
      <xdr:rowOff>198120</xdr:rowOff>
    </xdr:to>
    <xdr:pic>
      <xdr:nvPicPr>
        <xdr:cNvPr id="5170" name="Picture 50" descr="4865_0_Sicherheitsschuhe_benutzen">
          <a:extLst>
            <a:ext uri="{FF2B5EF4-FFF2-40B4-BE49-F238E27FC236}">
              <a16:creationId xmlns:a16="http://schemas.microsoft.com/office/drawing/2014/main" id="{00000000-0008-0000-01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1630680"/>
          <a:ext cx="89916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190500</xdr:colOff>
      <xdr:row>8</xdr:row>
      <xdr:rowOff>45720</xdr:rowOff>
    </xdr:from>
    <xdr:to>
      <xdr:col>8</xdr:col>
      <xdr:colOff>175260</xdr:colOff>
      <xdr:row>10</xdr:row>
      <xdr:rowOff>198120</xdr:rowOff>
    </xdr:to>
    <xdr:pic>
      <xdr:nvPicPr>
        <xdr:cNvPr id="5171" name="Picture 51" descr="1110_0_Schutzkleidung_benutzen">
          <a:extLst>
            <a:ext uri="{FF2B5EF4-FFF2-40B4-BE49-F238E27FC236}">
              <a16:creationId xmlns:a16="http://schemas.microsoft.com/office/drawing/2014/main" id="{00000000-0008-0000-0100-00003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1630680"/>
          <a:ext cx="89916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441960</xdr:colOff>
      <xdr:row>8</xdr:row>
      <xdr:rowOff>38100</xdr:rowOff>
    </xdr:from>
    <xdr:to>
      <xdr:col>14</xdr:col>
      <xdr:colOff>76200</xdr:colOff>
      <xdr:row>10</xdr:row>
      <xdr:rowOff>190500</xdr:rowOff>
    </xdr:to>
    <xdr:pic>
      <xdr:nvPicPr>
        <xdr:cNvPr id="5172" name="Picture 52" descr="1105_0_Handschutz_benutzen">
          <a:extLst>
            <a:ext uri="{FF2B5EF4-FFF2-40B4-BE49-F238E27FC236}">
              <a16:creationId xmlns:a16="http://schemas.microsoft.com/office/drawing/2014/main" id="{00000000-0008-0000-0100-00003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1623060"/>
          <a:ext cx="88392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8</xdr:row>
      <xdr:rowOff>45720</xdr:rowOff>
    </xdr:from>
    <xdr:to>
      <xdr:col>17</xdr:col>
      <xdr:colOff>251460</xdr:colOff>
      <xdr:row>10</xdr:row>
      <xdr:rowOff>198120</xdr:rowOff>
    </xdr:to>
    <xdr:pic>
      <xdr:nvPicPr>
        <xdr:cNvPr id="5173" name="Picture 53" descr="Gebotszeichen - Augenschutz benutzen">
          <a:extLst>
            <a:ext uri="{FF2B5EF4-FFF2-40B4-BE49-F238E27FC236}">
              <a16:creationId xmlns:a16="http://schemas.microsoft.com/office/drawing/2014/main" id="{00000000-0008-0000-0100-00003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" y="1630680"/>
          <a:ext cx="87630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91440</xdr:colOff>
      <xdr:row>8</xdr:row>
      <xdr:rowOff>45720</xdr:rowOff>
    </xdr:from>
    <xdr:to>
      <xdr:col>12</xdr:col>
      <xdr:colOff>304800</xdr:colOff>
      <xdr:row>10</xdr:row>
      <xdr:rowOff>198120</xdr:rowOff>
    </xdr:to>
    <xdr:pic>
      <xdr:nvPicPr>
        <xdr:cNvPr id="5174" name="Picture 54" descr="Helmet wearing Signs">
          <a:extLst>
            <a:ext uri="{FF2B5EF4-FFF2-40B4-BE49-F238E27FC236}">
              <a16:creationId xmlns:a16="http://schemas.microsoft.com/office/drawing/2014/main" id="{00000000-0008-0000-01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8840" y="1630680"/>
          <a:ext cx="89916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403860</xdr:colOff>
      <xdr:row>8</xdr:row>
      <xdr:rowOff>53340</xdr:rowOff>
    </xdr:from>
    <xdr:to>
      <xdr:col>19</xdr:col>
      <xdr:colOff>30480</xdr:colOff>
      <xdr:row>10</xdr:row>
      <xdr:rowOff>213360</xdr:rowOff>
    </xdr:to>
    <xdr:pic>
      <xdr:nvPicPr>
        <xdr:cNvPr id="5175" name="Picture 55" descr="Gebotszeichen - Gehörschutz tragen">
          <a:extLst>
            <a:ext uri="{FF2B5EF4-FFF2-40B4-BE49-F238E27FC236}">
              <a16:creationId xmlns:a16="http://schemas.microsoft.com/office/drawing/2014/main" id="{00000000-0008-0000-01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260" y="1638300"/>
          <a:ext cx="8763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213360</xdr:colOff>
      <xdr:row>8</xdr:row>
      <xdr:rowOff>38100</xdr:rowOff>
    </xdr:from>
    <xdr:to>
      <xdr:col>15</xdr:col>
      <xdr:colOff>480060</xdr:colOff>
      <xdr:row>10</xdr:row>
      <xdr:rowOff>190500</xdr:rowOff>
    </xdr:to>
    <xdr:pic>
      <xdr:nvPicPr>
        <xdr:cNvPr id="5176" name="Picture 56" descr="Warnweste anlegen">
          <a:extLst>
            <a:ext uri="{FF2B5EF4-FFF2-40B4-BE49-F238E27FC236}">
              <a16:creationId xmlns:a16="http://schemas.microsoft.com/office/drawing/2014/main" id="{00000000-0008-0000-01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6240" y="1623060"/>
          <a:ext cx="89154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182880</xdr:colOff>
      <xdr:row>8</xdr:row>
      <xdr:rowOff>53340</xdr:rowOff>
    </xdr:from>
    <xdr:to>
      <xdr:col>20</xdr:col>
      <xdr:colOff>441960</xdr:colOff>
      <xdr:row>10</xdr:row>
      <xdr:rowOff>213360</xdr:rowOff>
    </xdr:to>
    <xdr:pic>
      <xdr:nvPicPr>
        <xdr:cNvPr id="5177" name="Picture 57" descr="Gebotszeichen - Leichten Atemschutz tragen">
          <a:extLst>
            <a:ext uri="{FF2B5EF4-FFF2-40B4-BE49-F238E27FC236}">
              <a16:creationId xmlns:a16="http://schemas.microsoft.com/office/drawing/2014/main" id="{00000000-0008-0000-01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9960" y="1638300"/>
          <a:ext cx="88392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579120</xdr:colOff>
      <xdr:row>8</xdr:row>
      <xdr:rowOff>45720</xdr:rowOff>
    </xdr:from>
    <xdr:to>
      <xdr:col>22</xdr:col>
      <xdr:colOff>213360</xdr:colOff>
      <xdr:row>10</xdr:row>
      <xdr:rowOff>198120</xdr:rowOff>
    </xdr:to>
    <xdr:pic>
      <xdr:nvPicPr>
        <xdr:cNvPr id="5178" name="Picture 58" descr="Warnung vor giftigen Stoffen (Totenkopf-Symbol)">
          <a:extLst>
            <a:ext uri="{FF2B5EF4-FFF2-40B4-BE49-F238E27FC236}">
              <a16:creationId xmlns:a16="http://schemas.microsoft.com/office/drawing/2014/main" id="{00000000-0008-0000-0100-00003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1040" y="1630680"/>
          <a:ext cx="88392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426720</xdr:colOff>
      <xdr:row>8</xdr:row>
      <xdr:rowOff>45720</xdr:rowOff>
    </xdr:from>
    <xdr:to>
      <xdr:col>23</xdr:col>
      <xdr:colOff>518160</xdr:colOff>
      <xdr:row>10</xdr:row>
      <xdr:rowOff>198120</xdr:rowOff>
    </xdr:to>
    <xdr:pic>
      <xdr:nvPicPr>
        <xdr:cNvPr id="5179" name="Picture 59">
          <a:extLst>
            <a:ext uri="{FF2B5EF4-FFF2-40B4-BE49-F238E27FC236}">
              <a16:creationId xmlns:a16="http://schemas.microsoft.com/office/drawing/2014/main" id="{00000000-0008-0000-0100-00003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8320" y="1630680"/>
          <a:ext cx="716280" cy="6400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1</xdr:col>
      <xdr:colOff>495300</xdr:colOff>
      <xdr:row>3</xdr:row>
      <xdr:rowOff>179866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0"/>
          <a:ext cx="971550" cy="7361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ffresk\users\F_MONNIER\CacheIE\OLK4\G491-%20DT%20PROCES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"/>
      <sheetName val="1"/>
      <sheetName val="2"/>
      <sheetName val="3"/>
      <sheetName val="4"/>
      <sheetName val="5"/>
      <sheetName val="6.1.1"/>
      <sheetName val="6.1.3"/>
      <sheetName val="6.1.4"/>
      <sheetName val="6.1.5"/>
      <sheetName val="6.1.6"/>
      <sheetName val="6.2"/>
      <sheetName val="6.2.1"/>
      <sheetName val="6.2.2"/>
      <sheetName val="6.2.3"/>
      <sheetName val="6.3"/>
      <sheetName val="6.4"/>
      <sheetName val="6.5"/>
      <sheetName val="6.6.1"/>
      <sheetName val="6.6.2"/>
      <sheetName val="6.7"/>
      <sheetName val="6.8.1"/>
      <sheetName val="6.8.2"/>
      <sheetName val="6.8.3"/>
      <sheetName val="6.9"/>
      <sheetName val="7"/>
      <sheetName val="8"/>
      <sheetName val="8.1"/>
      <sheetName val="8.2"/>
      <sheetName val="8.3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G495-7"/>
      <sheetName val="D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1">
          <cell r="A1" t="str">
            <v>Index</v>
          </cell>
          <cell r="B1" t="str">
            <v>FRANCAIS</v>
          </cell>
          <cell r="C1" t="str">
            <v>ENGLISH</v>
          </cell>
          <cell r="D1" t="str">
            <v>POLSKI</v>
          </cell>
          <cell r="E1" t="str">
            <v>ROMANIA</v>
          </cell>
          <cell r="F1" t="str">
            <v>ESPANA</v>
          </cell>
          <cell r="G1" t="str">
            <v>PORTUGUESE</v>
          </cell>
          <cell r="H1" t="str">
            <v>HUNGARY</v>
          </cell>
          <cell r="I1" t="str">
            <v>SLOVAKIA</v>
          </cell>
          <cell r="J1" t="str">
            <v>no text</v>
          </cell>
          <cell r="AB1">
            <v>2</v>
          </cell>
          <cell r="AD1">
            <v>3</v>
          </cell>
        </row>
        <row r="2">
          <cell r="A2">
            <v>1</v>
          </cell>
          <cell r="B2" t="str">
            <v>Client</v>
          </cell>
          <cell r="C2" t="str">
            <v>Customer</v>
          </cell>
          <cell r="D2" t="str">
            <v>Klient</v>
          </cell>
          <cell r="E2" t="str">
            <v>Client</v>
          </cell>
          <cell r="F2" t="str">
            <v>Cliente</v>
          </cell>
          <cell r="G2" t="str">
            <v>Cliente</v>
          </cell>
          <cell r="H2" t="str">
            <v>Vevő</v>
          </cell>
          <cell r="I2" t="str">
            <v>Zákazník</v>
          </cell>
          <cell r="J2" t="str">
            <v xml:space="preserve"> </v>
          </cell>
        </row>
        <row r="3">
          <cell r="A3">
            <v>2</v>
          </cell>
          <cell r="B3" t="str">
            <v>Désignation</v>
          </cell>
          <cell r="C3" t="str">
            <v>Part Name</v>
          </cell>
          <cell r="D3" t="str">
            <v xml:space="preserve">Opis </v>
          </cell>
          <cell r="E3" t="str">
            <v>Denumire</v>
          </cell>
          <cell r="F3" t="str">
            <v>Designación</v>
          </cell>
          <cell r="G3" t="str">
            <v>Designação</v>
          </cell>
          <cell r="H3" t="str">
            <v>Termék neve</v>
          </cell>
          <cell r="I3" t="str">
            <v>Názov</v>
          </cell>
          <cell r="J3" t="str">
            <v xml:space="preserve"> </v>
          </cell>
        </row>
        <row r="4">
          <cell r="A4">
            <v>3</v>
          </cell>
          <cell r="B4" t="str">
            <v xml:space="preserve">Référence </v>
          </cell>
          <cell r="C4" t="str">
            <v>Reference</v>
          </cell>
          <cell r="D4" t="str">
            <v>Referencja</v>
          </cell>
          <cell r="E4" t="str">
            <v>Referinta</v>
          </cell>
          <cell r="F4" t="str">
            <v>Referencia</v>
          </cell>
          <cell r="G4" t="str">
            <v>Referência</v>
          </cell>
          <cell r="H4" t="str">
            <v>Beépüló anyag cikkszáma</v>
          </cell>
          <cell r="I4" t="str">
            <v>Názov dielu</v>
          </cell>
          <cell r="J4" t="str">
            <v xml:space="preserve"> </v>
          </cell>
        </row>
        <row r="5">
          <cell r="A5">
            <v>4</v>
          </cell>
          <cell r="B5" t="str">
            <v>Référence Pièce</v>
          </cell>
          <cell r="C5" t="str">
            <v>Part number</v>
          </cell>
          <cell r="D5" t="str">
            <v>Referencja część</v>
          </cell>
          <cell r="E5" t="str">
            <v>Referinta Piesa</v>
          </cell>
          <cell r="F5" t="str">
            <v>Referencia pieza</v>
          </cell>
          <cell r="G5" t="str">
            <v>Referência da peça</v>
          </cell>
          <cell r="H5" t="str">
            <v>Termékszám</v>
          </cell>
          <cell r="I5" t="str">
            <v>Referencia</v>
          </cell>
          <cell r="J5" t="str">
            <v xml:space="preserve"> </v>
          </cell>
        </row>
        <row r="6">
          <cell r="A6">
            <v>5</v>
          </cell>
          <cell r="B6" t="str">
            <v>Référence plan</v>
          </cell>
          <cell r="C6" t="str">
            <v>Drawing part number</v>
          </cell>
          <cell r="D6" t="str">
            <v>Referencja detalu brutto</v>
          </cell>
          <cell r="E6" t="str">
            <v>Referinta plan</v>
          </cell>
          <cell r="F6" t="str">
            <v>Referencia plano</v>
          </cell>
          <cell r="G6" t="str">
            <v>Numero do desenho</v>
          </cell>
          <cell r="H6" t="str">
            <v>Alkatrész szám fröccsöntött rész</v>
          </cell>
          <cell r="I6" t="str">
            <v>Číslo výkresu</v>
          </cell>
          <cell r="J6" t="str">
            <v xml:space="preserve"> </v>
          </cell>
        </row>
        <row r="7">
          <cell r="A7">
            <v>6</v>
          </cell>
          <cell r="B7" t="str">
            <v>Reference pièce moulée</v>
          </cell>
          <cell r="C7" t="str">
            <v>Moulding part number</v>
          </cell>
          <cell r="D7" t="str">
            <v>Referencja detalu netto</v>
          </cell>
          <cell r="E7" t="str">
            <v>Referinta  piesa injectata</v>
          </cell>
          <cell r="F7" t="str">
            <v>Referencia pieza moldeada</v>
          </cell>
          <cell r="G7" t="str">
            <v>Referência da peça injectada</v>
          </cell>
          <cell r="H7" t="str">
            <v>Alkatrész szám szerszám rész</v>
          </cell>
          <cell r="I7" t="str">
            <v>Číslo výlisku</v>
          </cell>
          <cell r="J7" t="str">
            <v xml:space="preserve"> </v>
          </cell>
        </row>
        <row r="8">
          <cell r="A8">
            <v>7</v>
          </cell>
          <cell r="B8" t="str">
            <v>Référence pièce peinte</v>
          </cell>
          <cell r="C8" t="str">
            <v>Painted part number</v>
          </cell>
          <cell r="D8" t="str">
            <v>Referencja detalu malowanego</v>
          </cell>
          <cell r="E8" t="str">
            <v>Referinta  piesa vopsita</v>
          </cell>
          <cell r="F8" t="str">
            <v>Referencia pieza pintada</v>
          </cell>
          <cell r="G8" t="str">
            <v>Referência da peça pintada</v>
          </cell>
          <cell r="H8" t="str">
            <v xml:space="preserve"> --&gt; hungarian ?</v>
          </cell>
          <cell r="I8" t="str">
            <v>referencia farbeného kusa</v>
          </cell>
          <cell r="J8" t="str">
            <v xml:space="preserve"> </v>
          </cell>
        </row>
        <row r="9">
          <cell r="A9">
            <v>8</v>
          </cell>
          <cell r="B9" t="str">
            <v>Référence pièce décorée</v>
          </cell>
          <cell r="C9" t="str">
            <v>Decorated part number</v>
          </cell>
          <cell r="D9" t="str">
            <v>Referencja detalu dekorowanego</v>
          </cell>
          <cell r="E9" t="str">
            <v>Referinta  piesa decorata</v>
          </cell>
          <cell r="F9" t="str">
            <v>Referencia pieza decorado</v>
          </cell>
          <cell r="G9" t="str">
            <v>Referência da peça decorada</v>
          </cell>
          <cell r="H9" t="str">
            <v xml:space="preserve"> --&gt; hungarian ?</v>
          </cell>
          <cell r="I9" t="str">
            <v>referencia dekorovaného kusa</v>
          </cell>
          <cell r="J9" t="str">
            <v xml:space="preserve"> </v>
          </cell>
        </row>
        <row r="10">
          <cell r="A10">
            <v>9</v>
          </cell>
          <cell r="B10" t="str">
            <v>Référence pièce assemblée</v>
          </cell>
          <cell r="C10" t="str">
            <v>Assy part number</v>
          </cell>
          <cell r="D10" t="str">
            <v>Referencja detalu montowanego</v>
          </cell>
          <cell r="E10" t="str">
            <v>Referinta  piesa asamblata</v>
          </cell>
          <cell r="F10" t="str">
            <v>Referencia pieza ensamblada</v>
          </cell>
          <cell r="G10" t="str">
            <v>Referência da peça montada</v>
          </cell>
          <cell r="H10" t="str">
            <v xml:space="preserve"> --&gt; hungarian ?</v>
          </cell>
          <cell r="I10" t="str">
            <v>referencia zmontovaného kusa</v>
          </cell>
          <cell r="J10" t="str">
            <v xml:space="preserve"> </v>
          </cell>
        </row>
        <row r="11">
          <cell r="A11">
            <v>10</v>
          </cell>
          <cell r="B11" t="str">
            <v>Page</v>
          </cell>
          <cell r="C11" t="str">
            <v>Page</v>
          </cell>
          <cell r="D11" t="str">
            <v>Strona</v>
          </cell>
          <cell r="E11" t="str">
            <v>Pagina</v>
          </cell>
          <cell r="F11" t="str">
            <v>Página</v>
          </cell>
          <cell r="G11" t="str">
            <v>Página</v>
          </cell>
          <cell r="H11" t="str">
            <v>Oldal</v>
          </cell>
          <cell r="I11" t="str">
            <v>Str.</v>
          </cell>
          <cell r="J11" t="str">
            <v xml:space="preserve"> </v>
          </cell>
        </row>
        <row r="12">
          <cell r="A12">
            <v>11</v>
          </cell>
          <cell r="B12" t="str">
            <v>N° page</v>
          </cell>
          <cell r="C12" t="str">
            <v>Page nb</v>
          </cell>
          <cell r="D12" t="str">
            <v>Nr strony</v>
          </cell>
          <cell r="E12" t="str">
            <v>Nr. pagina</v>
          </cell>
          <cell r="F12" t="str">
            <v>N° página</v>
          </cell>
          <cell r="G12" t="str">
            <v>Página n º</v>
          </cell>
          <cell r="H12" t="str">
            <v>N° Oldal</v>
          </cell>
          <cell r="I12" t="str">
            <v>Č. str.</v>
          </cell>
          <cell r="J12" t="str">
            <v xml:space="preserve"> </v>
          </cell>
        </row>
        <row r="13">
          <cell r="A13">
            <v>12</v>
          </cell>
          <cell r="B13" t="str">
            <v>Date</v>
          </cell>
          <cell r="C13" t="str">
            <v>Date</v>
          </cell>
          <cell r="D13" t="str">
            <v>Data</v>
          </cell>
          <cell r="E13" t="str">
            <v>Data</v>
          </cell>
          <cell r="F13" t="str">
            <v>Fecha</v>
          </cell>
          <cell r="G13" t="str">
            <v>Data</v>
          </cell>
          <cell r="H13" t="str">
            <v>Dátum</v>
          </cell>
          <cell r="I13" t="str">
            <v>Dátum</v>
          </cell>
          <cell r="J13" t="str">
            <v xml:space="preserve"> </v>
          </cell>
        </row>
        <row r="14">
          <cell r="A14">
            <v>13</v>
          </cell>
          <cell r="B14" t="str">
            <v>N° DT</v>
          </cell>
          <cell r="C14" t="str">
            <v>TF nb</v>
          </cell>
          <cell r="D14" t="str">
            <v>Nr DT</v>
          </cell>
          <cell r="E14" t="str">
            <v>Nr. DT</v>
          </cell>
          <cell r="F14" t="str">
            <v>N° ET</v>
          </cell>
          <cell r="G14" t="str">
            <v>N° DT</v>
          </cell>
          <cell r="H14" t="str">
            <v>N° TD</v>
          </cell>
          <cell r="I14" t="str">
            <v>Č. DT</v>
          </cell>
          <cell r="J14" t="str">
            <v xml:space="preserve"> </v>
          </cell>
        </row>
        <row r="15">
          <cell r="A15">
            <v>14</v>
          </cell>
          <cell r="B15" t="str">
            <v xml:space="preserve">Participants </v>
          </cell>
          <cell r="C15" t="str">
            <v xml:space="preserve">Attendees </v>
          </cell>
          <cell r="D15" t="str">
            <v>Uczestnicy</v>
          </cell>
          <cell r="E15" t="str">
            <v xml:space="preserve"> Participanti</v>
          </cell>
          <cell r="F15" t="str">
            <v>Participantes</v>
          </cell>
          <cell r="G15" t="str">
            <v>Participantes</v>
          </cell>
          <cell r="H15" t="str">
            <v>Résztvevõk</v>
          </cell>
          <cell r="I15" t="str">
            <v>Účastníci</v>
          </cell>
          <cell r="J15" t="str">
            <v xml:space="preserve"> </v>
          </cell>
        </row>
        <row r="16">
          <cell r="A16">
            <v>15</v>
          </cell>
          <cell r="B16" t="str">
            <v>Pilote</v>
          </cell>
          <cell r="C16" t="str">
            <v>Pilot</v>
          </cell>
          <cell r="D16" t="str">
            <v>Pilot</v>
          </cell>
          <cell r="E16" t="str">
            <v>Pilot</v>
          </cell>
          <cell r="F16" t="str">
            <v>Piloto</v>
          </cell>
          <cell r="G16" t="str">
            <v>lider</v>
          </cell>
          <cell r="H16" t="str">
            <v>Felelős</v>
          </cell>
          <cell r="I16" t="str">
            <v>Vedúci</v>
          </cell>
          <cell r="J16" t="str">
            <v xml:space="preserve"> </v>
          </cell>
        </row>
        <row r="17">
          <cell r="A17">
            <v>16</v>
          </cell>
          <cell r="B17" t="str">
            <v>Fonction</v>
          </cell>
          <cell r="C17" t="str">
            <v>Function</v>
          </cell>
          <cell r="D17" t="str">
            <v>Funkcja</v>
          </cell>
          <cell r="E17" t="str">
            <v>functie, functionare</v>
          </cell>
          <cell r="F17" t="str">
            <v>Cargo</v>
          </cell>
          <cell r="G17" t="str">
            <v>Função</v>
          </cell>
          <cell r="H17" t="str">
            <v>Beosztás</v>
          </cell>
          <cell r="I17" t="str">
            <v>Funkcia</v>
          </cell>
          <cell r="J17" t="str">
            <v xml:space="preserve"> </v>
          </cell>
        </row>
        <row r="18">
          <cell r="A18">
            <v>17</v>
          </cell>
          <cell r="B18" t="str">
            <v>Directeur</v>
          </cell>
          <cell r="C18" t="str">
            <v>Manager</v>
          </cell>
          <cell r="D18" t="str">
            <v>Dyrektor</v>
          </cell>
          <cell r="E18" t="str">
            <v>Director</v>
          </cell>
          <cell r="F18" t="str">
            <v>Director</v>
          </cell>
          <cell r="G18" t="str">
            <v>Director</v>
          </cell>
          <cell r="H18" t="str">
            <v>Igazgató</v>
          </cell>
          <cell r="I18" t="str">
            <v>Manažer</v>
          </cell>
          <cell r="J18" t="str">
            <v xml:space="preserve"> </v>
          </cell>
        </row>
        <row r="19">
          <cell r="A19">
            <v>18</v>
          </cell>
          <cell r="B19" t="str">
            <v>Directeur usine</v>
          </cell>
          <cell r="C19" t="str">
            <v>Plant manager</v>
          </cell>
          <cell r="D19" t="str">
            <v>Dyrektor Zakładu</v>
          </cell>
          <cell r="E19" t="str">
            <v>Director fabrica</v>
          </cell>
          <cell r="F19" t="str">
            <v>Director de la planta</v>
          </cell>
          <cell r="G19" t="str">
            <v>Gerente de fábrica</v>
          </cell>
          <cell r="H19" t="str">
            <v>Igazgató Üzem</v>
          </cell>
          <cell r="I19" t="str">
            <v>Riaditeľ závodu</v>
          </cell>
          <cell r="J19" t="str">
            <v xml:space="preserve"> </v>
          </cell>
        </row>
        <row r="20">
          <cell r="A20">
            <v>19</v>
          </cell>
          <cell r="B20" t="str">
            <v>Responsable</v>
          </cell>
          <cell r="C20" t="str">
            <v>Responsible</v>
          </cell>
          <cell r="D20" t="str">
            <v>Kierownik</v>
          </cell>
          <cell r="E20" t="str">
            <v>Responsabil</v>
          </cell>
          <cell r="F20" t="str">
            <v>Responsable</v>
          </cell>
          <cell r="G20" t="str">
            <v>Responsável</v>
          </cell>
          <cell r="H20" t="str">
            <v>Vezető</v>
          </cell>
          <cell r="I20" t="str">
            <v>Zodpovedný</v>
          </cell>
          <cell r="J20" t="str">
            <v xml:space="preserve"> </v>
          </cell>
        </row>
        <row r="21">
          <cell r="A21">
            <v>20</v>
          </cell>
          <cell r="B21" t="str">
            <v>Responsable Production</v>
          </cell>
          <cell r="C21" t="str">
            <v>Production manager</v>
          </cell>
          <cell r="D21" t="str">
            <v>Szef Produkcji</v>
          </cell>
          <cell r="E21" t="str">
            <v>Resp. Productie</v>
          </cell>
          <cell r="F21" t="str">
            <v>Responsable Produción</v>
          </cell>
          <cell r="G21" t="str">
            <v>Director de Produção</v>
          </cell>
          <cell r="H21" t="str">
            <v>Termelés vezető</v>
          </cell>
          <cell r="I21" t="str">
            <v>Výrobný riaditeľ</v>
          </cell>
          <cell r="J21" t="str">
            <v xml:space="preserve"> </v>
          </cell>
        </row>
        <row r="22">
          <cell r="A22">
            <v>21</v>
          </cell>
          <cell r="B22" t="str">
            <v>Commercial</v>
          </cell>
          <cell r="C22" t="str">
            <v>Saler</v>
          </cell>
          <cell r="D22" t="str">
            <v>Handlowiec</v>
          </cell>
          <cell r="E22" t="str">
            <v>Comercial</v>
          </cell>
          <cell r="F22" t="str">
            <v>Comercial</v>
          </cell>
          <cell r="G22" t="str">
            <v>Comercial</v>
          </cell>
          <cell r="H22" t="str">
            <v>Kereskedelmi igazgató</v>
          </cell>
          <cell r="I22" t="str">
            <v>Predajca</v>
          </cell>
          <cell r="J22" t="str">
            <v xml:space="preserve"> </v>
          </cell>
        </row>
        <row r="23">
          <cell r="A23">
            <v>22</v>
          </cell>
          <cell r="B23" t="str">
            <v>Acheteur</v>
          </cell>
          <cell r="C23" t="str">
            <v>Purchaser</v>
          </cell>
          <cell r="D23" t="str">
            <v>Zakupowiec</v>
          </cell>
          <cell r="E23" t="str">
            <v>Cumparator</v>
          </cell>
          <cell r="F23" t="str">
            <v>Comprador</v>
          </cell>
          <cell r="G23" t="str">
            <v>Comprador</v>
          </cell>
          <cell r="H23" t="str">
            <v>Vásárló</v>
          </cell>
          <cell r="I23" t="str">
            <v>Nákupca</v>
          </cell>
          <cell r="J23" t="str">
            <v xml:space="preserve"> </v>
          </cell>
        </row>
        <row r="24">
          <cell r="A24">
            <v>23</v>
          </cell>
          <cell r="B24" t="str">
            <v>Responsable Technique</v>
          </cell>
          <cell r="C24" t="str">
            <v>Technical manager</v>
          </cell>
          <cell r="D24" t="str">
            <v>Kierownik Działu Technicznego</v>
          </cell>
          <cell r="E24" t="str">
            <v>Sef de tehnic</v>
          </cell>
          <cell r="F24" t="str">
            <v>Responsable Técnico</v>
          </cell>
          <cell r="G24" t="str">
            <v>Director Técnico</v>
          </cell>
          <cell r="H24" t="str">
            <v>Igazgató Technológiai</v>
          </cell>
          <cell r="I24" t="str">
            <v>Technický riaditeľ</v>
          </cell>
          <cell r="J24" t="str">
            <v xml:space="preserve"> </v>
          </cell>
        </row>
        <row r="25">
          <cell r="A25">
            <v>24</v>
          </cell>
          <cell r="B25" t="str">
            <v>Responsable Qualité</v>
          </cell>
          <cell r="C25" t="str">
            <v>Quality manager</v>
          </cell>
          <cell r="D25" t="str">
            <v>Kierownik Jakości</v>
          </cell>
          <cell r="E25" t="str">
            <v>Resp. Calitate</v>
          </cell>
          <cell r="F25" t="str">
            <v>Responsable Calidad</v>
          </cell>
          <cell r="G25" t="str">
            <v>Director de Qualidade</v>
          </cell>
          <cell r="H25" t="str">
            <v>Minőségbiztosítási vezető</v>
          </cell>
          <cell r="I25" t="str">
            <v>Manažér kvality</v>
          </cell>
          <cell r="J25" t="str">
            <v xml:space="preserve"> </v>
          </cell>
        </row>
        <row r="26">
          <cell r="A26">
            <v>25</v>
          </cell>
          <cell r="B26" t="str">
            <v>Chef projet</v>
          </cell>
          <cell r="C26" t="str">
            <v>Project leader</v>
          </cell>
          <cell r="D26" t="str">
            <v>Kierownik Projektu</v>
          </cell>
          <cell r="E26" t="str">
            <v>Sef de proiect</v>
          </cell>
          <cell r="F26" t="str">
            <v>Jefe proyecto</v>
          </cell>
          <cell r="G26" t="str">
            <v>Chefe de Projecto</v>
          </cell>
          <cell r="H26" t="str">
            <v xml:space="preserve"> --&gt; hungarian ?</v>
          </cell>
          <cell r="I26" t="str">
            <v>Projektový manažér</v>
          </cell>
          <cell r="J26" t="str">
            <v xml:space="preserve"> </v>
          </cell>
        </row>
        <row r="27">
          <cell r="A27">
            <v>26</v>
          </cell>
          <cell r="B27" t="str">
            <v>Opérateur</v>
          </cell>
          <cell r="C27" t="str">
            <v>Operator</v>
          </cell>
          <cell r="D27" t="str">
            <v>Operator</v>
          </cell>
          <cell r="E27" t="str">
            <v>Operator</v>
          </cell>
          <cell r="F27" t="str">
            <v>Operador</v>
          </cell>
          <cell r="G27" t="str">
            <v>Operador</v>
          </cell>
          <cell r="H27" t="str">
            <v>Opérator</v>
          </cell>
          <cell r="I27" t="str">
            <v>Operátor</v>
          </cell>
          <cell r="J27" t="str">
            <v xml:space="preserve"> </v>
          </cell>
        </row>
        <row r="28">
          <cell r="A28">
            <v>27</v>
          </cell>
          <cell r="B28" t="str">
            <v>Moule</v>
          </cell>
          <cell r="C28" t="str">
            <v>mould</v>
          </cell>
          <cell r="D28" t="str">
            <v>Forma</v>
          </cell>
          <cell r="E28" t="str">
            <v>Matrita</v>
          </cell>
          <cell r="F28" t="str">
            <v>Molde</v>
          </cell>
          <cell r="G28" t="str">
            <v>Molde</v>
          </cell>
          <cell r="H28" t="str">
            <v>Szerszám</v>
          </cell>
          <cell r="I28" t="str">
            <v>Forma</v>
          </cell>
          <cell r="J28" t="str">
            <v xml:space="preserve"> </v>
          </cell>
        </row>
        <row r="29">
          <cell r="A29">
            <v>28</v>
          </cell>
          <cell r="B29" t="str">
            <v>Composant</v>
          </cell>
          <cell r="C29" t="str">
            <v>Component</v>
          </cell>
          <cell r="D29" t="str">
            <v>Komponent</v>
          </cell>
          <cell r="E29" t="str">
            <v>Componente</v>
          </cell>
          <cell r="F29" t="str">
            <v>Componente</v>
          </cell>
          <cell r="G29" t="str">
            <v>Componente</v>
          </cell>
          <cell r="H29" t="str">
            <v>Komponens</v>
          </cell>
          <cell r="I29" t="str">
            <v>Komponent</v>
          </cell>
          <cell r="J29" t="str">
            <v xml:space="preserve"> </v>
          </cell>
        </row>
        <row r="30">
          <cell r="A30">
            <v>29</v>
          </cell>
          <cell r="B30" t="str">
            <v>en</v>
          </cell>
          <cell r="C30" t="str">
            <v>in</v>
          </cell>
          <cell r="D30" t="str">
            <v>w</v>
          </cell>
          <cell r="E30" t="str">
            <v>in</v>
          </cell>
          <cell r="F30" t="str">
            <v>en</v>
          </cell>
          <cell r="G30" t="str">
            <v>em</v>
          </cell>
          <cell r="H30" t="str">
            <v xml:space="preserve"> --&gt; hungarian ?</v>
          </cell>
          <cell r="I30" t="str">
            <v>v</v>
          </cell>
          <cell r="J30" t="str">
            <v xml:space="preserve"> </v>
          </cell>
        </row>
        <row r="31">
          <cell r="A31">
            <v>30</v>
          </cell>
          <cell r="B31" t="str">
            <v>Reference pièce injectée</v>
          </cell>
          <cell r="C31" t="str">
            <v>Injected part number</v>
          </cell>
          <cell r="D31" t="str">
            <v>numer wyrobu po wtrysku</v>
          </cell>
          <cell r="E31" t="str">
            <v>Referinta  piesa injectata</v>
          </cell>
          <cell r="F31" t="str">
            <v>Referencia pieza inyectada</v>
          </cell>
          <cell r="G31" t="str">
            <v>Referência da peça injectada</v>
          </cell>
          <cell r="H31" t="str">
            <v xml:space="preserve"> --&gt; hungarian ?</v>
          </cell>
          <cell r="I31" t="str">
            <v>Číslo výlisku</v>
          </cell>
          <cell r="J31" t="str">
            <v xml:space="preserve"> </v>
          </cell>
        </row>
        <row r="32">
          <cell r="A32">
            <v>31</v>
          </cell>
          <cell r="B32" t="str">
            <v>Reference pièce nue</v>
          </cell>
          <cell r="C32" t="str">
            <v>Raw part number :</v>
          </cell>
          <cell r="D32" t="str">
            <v>numer wyrobu surowego</v>
          </cell>
          <cell r="E32" t="str">
            <v>Referinta  piesa bruta</v>
          </cell>
          <cell r="F32" t="str">
            <v>Referencia pieza bruta</v>
          </cell>
          <cell r="G32" t="str">
            <v>Referência do material</v>
          </cell>
          <cell r="H32" t="str">
            <v xml:space="preserve"> --&gt; hungarian ?</v>
          </cell>
          <cell r="I32" t="str">
            <v>referencia surového kusa</v>
          </cell>
          <cell r="J32" t="str">
            <v xml:space="preserve"> </v>
          </cell>
        </row>
        <row r="33">
          <cell r="A33">
            <v>32</v>
          </cell>
          <cell r="B33" t="str">
            <v>Fond jaune</v>
          </cell>
          <cell r="C33" t="str">
            <v>Yellow color</v>
          </cell>
          <cell r="D33" t="str">
            <v>kolor żółty</v>
          </cell>
          <cell r="E33" t="str">
            <v>culoare galben</v>
          </cell>
          <cell r="F33" t="str">
            <v>Fondo amarillo</v>
          </cell>
          <cell r="G33" t="str">
            <v>Cor Amarela</v>
          </cell>
          <cell r="H33" t="str">
            <v>Háttér Sárga</v>
          </cell>
          <cell r="I33" t="str">
            <v>Žltá farba</v>
          </cell>
          <cell r="J33" t="str">
            <v xml:space="preserve"> </v>
          </cell>
        </row>
        <row r="34">
          <cell r="A34">
            <v>33</v>
          </cell>
          <cell r="B34" t="str">
            <v>Fond orange</v>
          </cell>
          <cell r="C34" t="str">
            <v>Orange color</v>
          </cell>
          <cell r="D34" t="str">
            <v>kolor pomarańczowy</v>
          </cell>
          <cell r="E34" t="str">
            <v>culoare oranj</v>
          </cell>
          <cell r="F34" t="str">
            <v>Fondo naranja</v>
          </cell>
          <cell r="G34" t="str">
            <v>Cor laranja</v>
          </cell>
          <cell r="H34" t="str">
            <v>Háttér narancs</v>
          </cell>
          <cell r="I34" t="str">
            <v>Orandžova farba</v>
          </cell>
          <cell r="J34" t="str">
            <v xml:space="preserve"> </v>
          </cell>
        </row>
        <row r="35">
          <cell r="A35">
            <v>34</v>
          </cell>
          <cell r="B35" t="str">
            <v>Fond bleu</v>
          </cell>
          <cell r="C35" t="str">
            <v>Blue color</v>
          </cell>
          <cell r="D35" t="str">
            <v xml:space="preserve">kolor niebieski </v>
          </cell>
          <cell r="E35" t="str">
            <v>culoare albastra</v>
          </cell>
          <cell r="F35" t="str">
            <v>Fondo azul</v>
          </cell>
          <cell r="G35" t="str">
            <v>Cor azul</v>
          </cell>
          <cell r="H35" t="str">
            <v>Háttér kék</v>
          </cell>
          <cell r="I35" t="str">
            <v>Modrá farba</v>
          </cell>
          <cell r="J35" t="str">
            <v xml:space="preserve"> </v>
          </cell>
        </row>
        <row r="36">
          <cell r="A36">
            <v>35</v>
          </cell>
          <cell r="B36" t="str">
            <v>Opération</v>
          </cell>
          <cell r="C36" t="str">
            <v>Operation</v>
          </cell>
          <cell r="D36" t="str">
            <v>Operacja</v>
          </cell>
          <cell r="E36" t="str">
            <v>Operaţie</v>
          </cell>
          <cell r="F36" t="str">
            <v>Operación</v>
          </cell>
          <cell r="G36" t="str">
            <v>Tarefa</v>
          </cell>
          <cell r="H36" t="str">
            <v>Munkafolyamat</v>
          </cell>
          <cell r="I36" t="str">
            <v>Operácia</v>
          </cell>
          <cell r="J36" t="str">
            <v xml:space="preserve"> </v>
          </cell>
        </row>
        <row r="37">
          <cell r="A37">
            <v>36</v>
          </cell>
          <cell r="B37" t="str">
            <v>Mode opératoire</v>
          </cell>
          <cell r="C37" t="str">
            <v>Working instruction</v>
          </cell>
          <cell r="D37" t="str">
            <v>Tryb Pracy</v>
          </cell>
          <cell r="E37" t="str">
            <v>Mod operatie</v>
          </cell>
          <cell r="F37" t="str">
            <v>Modo operativo</v>
          </cell>
          <cell r="G37" t="str">
            <v>Instrucção de trabalho</v>
          </cell>
          <cell r="H37" t="str">
            <v>Munkautasítás</v>
          </cell>
          <cell r="I37" t="str">
            <v>Pracovná inštrukcia</v>
          </cell>
          <cell r="J37" t="str">
            <v xml:space="preserve"> </v>
          </cell>
        </row>
        <row r="38">
          <cell r="A38">
            <v>37</v>
          </cell>
          <cell r="B38" t="str">
            <v>N°</v>
          </cell>
          <cell r="C38" t="str">
            <v>Nb</v>
          </cell>
          <cell r="D38" t="str">
            <v>Nr</v>
          </cell>
          <cell r="E38" t="str">
            <v>Nr.</v>
          </cell>
          <cell r="F38" t="str">
            <v>N°</v>
          </cell>
          <cell r="G38" t="str">
            <v>N°</v>
          </cell>
          <cell r="H38" t="str">
            <v>Sz.</v>
          </cell>
          <cell r="I38" t="str">
            <v>Čis.</v>
          </cell>
          <cell r="J38" t="str">
            <v xml:space="preserve"> </v>
          </cell>
        </row>
        <row r="39">
          <cell r="A39">
            <v>38</v>
          </cell>
          <cell r="B39" t="str">
            <v>Actions</v>
          </cell>
          <cell r="C39" t="str">
            <v>Actions</v>
          </cell>
          <cell r="D39" t="str">
            <v>Działania</v>
          </cell>
          <cell r="E39" t="str">
            <v>Acţiuni</v>
          </cell>
          <cell r="F39" t="str">
            <v>Acción</v>
          </cell>
          <cell r="G39" t="str">
            <v>Acções</v>
          </cell>
          <cell r="H39" t="str">
            <v>Akciók</v>
          </cell>
          <cell r="I39" t="str">
            <v>Akcie</v>
          </cell>
          <cell r="J39" t="str">
            <v xml:space="preserve"> </v>
          </cell>
        </row>
        <row r="40">
          <cell r="A40">
            <v>39</v>
          </cell>
          <cell r="B40" t="str">
            <v>Site PVL</v>
          </cell>
          <cell r="C40" t="str">
            <v>PVL Plant</v>
          </cell>
          <cell r="D40" t="str">
            <v>Fabryka PVL</v>
          </cell>
          <cell r="E40" t="str">
            <v>Fabrică PVL</v>
          </cell>
          <cell r="F40" t="str">
            <v>Sitio PVL</v>
          </cell>
          <cell r="G40" t="str">
            <v>Fábrica PVL</v>
          </cell>
          <cell r="H40" t="str">
            <v>Gyár</v>
          </cell>
          <cell r="I40" t="str">
            <v>Závod PVL</v>
          </cell>
          <cell r="J40" t="str">
            <v xml:space="preserve"> </v>
          </cell>
        </row>
        <row r="41">
          <cell r="A41">
            <v>40</v>
          </cell>
          <cell r="B41" t="str">
            <v>SOMMAIRE</v>
          </cell>
          <cell r="C41" t="str">
            <v>SUMMARY</v>
          </cell>
          <cell r="D41" t="str">
            <v>SPIS TREŚCI</v>
          </cell>
          <cell r="E41" t="str">
            <v>SUMAR</v>
          </cell>
          <cell r="F41" t="str">
            <v>SUMARIO</v>
          </cell>
          <cell r="G41" t="str">
            <v>SUMÁRIO</v>
          </cell>
          <cell r="H41" t="str">
            <v>ÖSSZEFOGLALÓ</v>
          </cell>
          <cell r="I41" t="str">
            <v>OBSAH</v>
          </cell>
          <cell r="J41" t="str">
            <v xml:space="preserve"> </v>
          </cell>
        </row>
        <row r="42">
          <cell r="A42">
            <v>41</v>
          </cell>
          <cell r="B42" t="str">
            <v>Annexe</v>
          </cell>
          <cell r="C42" t="str">
            <v>Appendix</v>
          </cell>
          <cell r="D42" t="str">
            <v>Aneks</v>
          </cell>
          <cell r="E42" t="str">
            <v>Anexă</v>
          </cell>
          <cell r="F42" t="str">
            <v>Anexo</v>
          </cell>
          <cell r="G42" t="str">
            <v>Anexo</v>
          </cell>
          <cell r="H42" t="str">
            <v>Függelék</v>
          </cell>
          <cell r="I42" t="str">
            <v>Príloha</v>
          </cell>
          <cell r="J42" t="str">
            <v xml:space="preserve"> </v>
          </cell>
        </row>
        <row r="43">
          <cell r="A43">
            <v>42</v>
          </cell>
          <cell r="B43" t="str">
            <v>Référence Client :</v>
          </cell>
          <cell r="C43" t="str">
            <v>Customer reference :</v>
          </cell>
          <cell r="D43" t="str">
            <v>Referencja klienta</v>
          </cell>
          <cell r="E43" t="str">
            <v>Referinta client</v>
          </cell>
          <cell r="F43" t="str">
            <v>Referencia cliente :</v>
          </cell>
          <cell r="G43" t="str">
            <v>Referencia do cliente</v>
          </cell>
          <cell r="H43" t="str">
            <v xml:space="preserve"> --&gt; hungarian ?</v>
          </cell>
          <cell r="I43" t="str">
            <v>Zákaznícka referencia</v>
          </cell>
          <cell r="J43" t="str">
            <v xml:space="preserve"> </v>
          </cell>
        </row>
        <row r="44">
          <cell r="A44">
            <v>43</v>
          </cell>
          <cell r="B44" t="str">
            <v>Produit :</v>
          </cell>
          <cell r="C44" t="str">
            <v>Product :</v>
          </cell>
          <cell r="D44" t="str">
            <v>Produkt</v>
          </cell>
          <cell r="E44" t="str">
            <v>Produs</v>
          </cell>
          <cell r="F44" t="str">
            <v>Producto</v>
          </cell>
          <cell r="G44" t="str">
            <v>Produto</v>
          </cell>
          <cell r="H44" t="str">
            <v>Szer</v>
          </cell>
          <cell r="I44" t="str">
            <v>Výrobok</v>
          </cell>
          <cell r="J44" t="str">
            <v xml:space="preserve"> </v>
          </cell>
        </row>
        <row r="45">
          <cell r="A45">
            <v>44</v>
          </cell>
          <cell r="B45" t="str">
            <v>Indice</v>
          </cell>
          <cell r="C45" t="str">
            <v>Index</v>
          </cell>
          <cell r="D45" t="str">
            <v>Index</v>
          </cell>
          <cell r="E45" t="str">
            <v>Indice</v>
          </cell>
          <cell r="F45" t="str">
            <v>Índice</v>
          </cell>
          <cell r="G45" t="str">
            <v>Induce</v>
          </cell>
          <cell r="H45" t="str">
            <v>Verzió</v>
          </cell>
          <cell r="I45" t="str">
            <v>Index</v>
          </cell>
          <cell r="J45" t="str">
            <v xml:space="preserve"> </v>
          </cell>
        </row>
        <row r="46">
          <cell r="A46">
            <v>45</v>
          </cell>
          <cell r="B46" t="str">
            <v>N° Moule :</v>
          </cell>
          <cell r="C46" t="str">
            <v>mould number :</v>
          </cell>
          <cell r="D46" t="str">
            <v>Numer formy :</v>
          </cell>
          <cell r="E46" t="str">
            <v>Nr. matrita :</v>
          </cell>
          <cell r="F46" t="str">
            <v>N° Molde :</v>
          </cell>
          <cell r="G46" t="str">
            <v>Numero do Molde</v>
          </cell>
          <cell r="H46" t="str">
            <v>Szerszám szám :</v>
          </cell>
          <cell r="I46" t="str">
            <v>Číslo formy:</v>
          </cell>
          <cell r="J46" t="str">
            <v xml:space="preserve"> </v>
          </cell>
        </row>
        <row r="47">
          <cell r="A47">
            <v>46</v>
          </cell>
          <cell r="B47" t="str">
            <v>Fournisseur</v>
          </cell>
          <cell r="C47" t="str">
            <v>Supplier</v>
          </cell>
          <cell r="D47" t="str">
            <v>Dostawca</v>
          </cell>
          <cell r="E47" t="str">
            <v>Furnizor</v>
          </cell>
          <cell r="F47" t="str">
            <v>Proveedor</v>
          </cell>
          <cell r="G47" t="str">
            <v>Fornecedor</v>
          </cell>
          <cell r="H47" t="str">
            <v>Beszállítói</v>
          </cell>
          <cell r="I47" t="str">
            <v>Dodávateľ</v>
          </cell>
          <cell r="J47" t="str">
            <v xml:space="preserve"> </v>
          </cell>
        </row>
        <row r="48">
          <cell r="A48">
            <v>47</v>
          </cell>
          <cell r="B48" t="str">
            <v>Atelier / Zone</v>
          </cell>
          <cell r="C48" t="str">
            <v>Workshop / area</v>
          </cell>
          <cell r="D48" t="str">
            <v>Warsztat / Strefa</v>
          </cell>
          <cell r="E48" t="str">
            <v>Atelier / Zona</v>
          </cell>
          <cell r="F48" t="str">
            <v>Taller / Zona</v>
          </cell>
          <cell r="G48" t="str">
            <v>Area de produção</v>
          </cell>
          <cell r="H48" t="str">
            <v>Műhely</v>
          </cell>
          <cell r="I48" t="str">
            <v>Pracovisko</v>
          </cell>
          <cell r="J48" t="str">
            <v xml:space="preserve"> </v>
          </cell>
        </row>
        <row r="49">
          <cell r="A49">
            <v>48</v>
          </cell>
          <cell r="B49" t="str">
            <v>Nom</v>
          </cell>
          <cell r="C49" t="str">
            <v>Name</v>
          </cell>
          <cell r="D49" t="str">
            <v>Nazwisko</v>
          </cell>
          <cell r="E49" t="str">
            <v>Nume</v>
          </cell>
          <cell r="F49" t="str">
            <v>Nombre</v>
          </cell>
          <cell r="G49" t="str">
            <v>Nome</v>
          </cell>
          <cell r="H49" t="str">
            <v>Neve</v>
          </cell>
          <cell r="I49" t="str">
            <v>Meno</v>
          </cell>
          <cell r="J49" t="str">
            <v xml:space="preserve"> </v>
          </cell>
        </row>
        <row r="50">
          <cell r="A50">
            <v>49</v>
          </cell>
          <cell r="B50" t="str">
            <v>Délai</v>
          </cell>
          <cell r="C50" t="str">
            <v>Lead time</v>
          </cell>
          <cell r="D50" t="str">
            <v>Termin</v>
          </cell>
          <cell r="E50" t="str">
            <v>Amanare</v>
          </cell>
          <cell r="F50" t="str">
            <v>Plazo</v>
          </cell>
          <cell r="G50" t="str">
            <v>Prazo</v>
          </cell>
          <cell r="H50" t="str">
            <v>Ütemezés</v>
          </cell>
          <cell r="I50" t="str">
            <v>Termín</v>
          </cell>
          <cell r="J50" t="str">
            <v xml:space="preserve"> </v>
          </cell>
        </row>
        <row r="51">
          <cell r="A51">
            <v>50</v>
          </cell>
          <cell r="B51" t="str">
            <v>Date d'application :</v>
          </cell>
          <cell r="C51" t="str">
            <v>Effectivity date :</v>
          </cell>
          <cell r="D51" t="str">
            <v>Data uprawomocnienia</v>
          </cell>
          <cell r="E51" t="str">
            <v>Data de aplicare</v>
          </cell>
          <cell r="F51" t="str">
            <v>Fecha de aplicación</v>
          </cell>
          <cell r="G51" t="str">
            <v>Data de implementação</v>
          </cell>
          <cell r="H51" t="str">
            <v>Effective dátuma</v>
          </cell>
          <cell r="I51" t="str">
            <v>Dátum aplikácie</v>
          </cell>
          <cell r="J51" t="str">
            <v xml:space="preserve"> </v>
          </cell>
        </row>
        <row r="52">
          <cell r="A52">
            <v>51</v>
          </cell>
          <cell r="B52" t="str">
            <v>Quantité</v>
          </cell>
          <cell r="C52" t="str">
            <v>Quantity</v>
          </cell>
          <cell r="D52" t="str">
            <v>Ilość</v>
          </cell>
          <cell r="E52" t="str">
            <v>Cantitate</v>
          </cell>
          <cell r="F52" t="str">
            <v>Cantidad</v>
          </cell>
          <cell r="G52" t="str">
            <v>Quantidade</v>
          </cell>
          <cell r="H52" t="str">
            <v>Mennyiség</v>
          </cell>
          <cell r="I52" t="str">
            <v>Množstvo</v>
          </cell>
          <cell r="J52" t="str">
            <v xml:space="preserve"> </v>
          </cell>
        </row>
        <row r="53">
          <cell r="A53">
            <v>52</v>
          </cell>
          <cell r="B53" t="str">
            <v>ou</v>
          </cell>
          <cell r="C53" t="str">
            <v>or</v>
          </cell>
          <cell r="D53" t="str">
            <v>albo</v>
          </cell>
          <cell r="E53" t="str">
            <v>sau</v>
          </cell>
          <cell r="F53" t="str">
            <v>o</v>
          </cell>
          <cell r="G53" t="str">
            <v>ou</v>
          </cell>
          <cell r="H53" t="str">
            <v>vagy</v>
          </cell>
          <cell r="I53" t="str">
            <v>alebo</v>
          </cell>
          <cell r="J53" t="str">
            <v xml:space="preserve"> </v>
          </cell>
        </row>
        <row r="54">
          <cell r="A54">
            <v>53</v>
          </cell>
          <cell r="B54" t="str">
            <v>et</v>
          </cell>
          <cell r="C54" t="str">
            <v>and</v>
          </cell>
          <cell r="D54" t="str">
            <v>i</v>
          </cell>
          <cell r="E54" t="str">
            <v>si</v>
          </cell>
          <cell r="F54" t="str">
            <v>y</v>
          </cell>
          <cell r="G54" t="str">
            <v>e</v>
          </cell>
          <cell r="H54" t="str">
            <v>és</v>
          </cell>
          <cell r="I54" t="str">
            <v>a</v>
          </cell>
          <cell r="J54" t="str">
            <v xml:space="preserve"> </v>
          </cell>
        </row>
        <row r="55">
          <cell r="A55">
            <v>54</v>
          </cell>
          <cell r="B55" t="str">
            <v>Oui</v>
          </cell>
          <cell r="C55" t="str">
            <v>Yes</v>
          </cell>
          <cell r="D55" t="str">
            <v>Tak</v>
          </cell>
          <cell r="E55" t="str">
            <v>Da</v>
          </cell>
          <cell r="F55" t="str">
            <v>Sí</v>
          </cell>
          <cell r="G55" t="str">
            <v>Sim</v>
          </cell>
          <cell r="H55" t="str">
            <v>Igen</v>
          </cell>
          <cell r="I55" t="str">
            <v>Áno</v>
          </cell>
          <cell r="J55" t="str">
            <v xml:space="preserve"> </v>
          </cell>
        </row>
        <row r="56">
          <cell r="A56">
            <v>55</v>
          </cell>
          <cell r="B56" t="str">
            <v>Non</v>
          </cell>
          <cell r="C56" t="str">
            <v>No</v>
          </cell>
          <cell r="D56" t="str">
            <v>Nie</v>
          </cell>
          <cell r="E56" t="str">
            <v>Nu</v>
          </cell>
          <cell r="F56" t="str">
            <v>No</v>
          </cell>
          <cell r="G56" t="str">
            <v>Não</v>
          </cell>
          <cell r="H56" t="str">
            <v>Nem</v>
          </cell>
          <cell r="I56" t="str">
            <v>Nie</v>
          </cell>
          <cell r="J56" t="str">
            <v xml:space="preserve"> </v>
          </cell>
        </row>
        <row r="57">
          <cell r="A57">
            <v>56</v>
          </cell>
          <cell r="B57" t="str">
            <v>Autre</v>
          </cell>
          <cell r="C57" t="str">
            <v>Other</v>
          </cell>
          <cell r="D57" t="str">
            <v>Inne</v>
          </cell>
          <cell r="E57" t="str">
            <v>Altul</v>
          </cell>
          <cell r="F57" t="str">
            <v>Otros</v>
          </cell>
          <cell r="G57" t="str">
            <v>Outros</v>
          </cell>
          <cell r="H57" t="str">
            <v>Egyéb</v>
          </cell>
          <cell r="I57" t="str">
            <v>Iné</v>
          </cell>
          <cell r="J57" t="str">
            <v xml:space="preserve"> </v>
          </cell>
        </row>
        <row r="58">
          <cell r="A58">
            <v>57</v>
          </cell>
          <cell r="B58" t="str">
            <v xml:space="preserve">Instruction </v>
          </cell>
          <cell r="C58" t="str">
            <v>Instruction</v>
          </cell>
          <cell r="D58" t="str">
            <v>Instrukcja</v>
          </cell>
          <cell r="E58" t="str">
            <v>Instructiune</v>
          </cell>
          <cell r="F58" t="str">
            <v>Instrucción</v>
          </cell>
          <cell r="G58" t="str">
            <v>Instrução de trabalho</v>
          </cell>
          <cell r="H58" t="str">
            <v>Utasítás</v>
          </cell>
          <cell r="I58" t="str">
            <v>Inštrukcia</v>
          </cell>
          <cell r="J58" t="str">
            <v xml:space="preserve"> </v>
          </cell>
        </row>
        <row r="59">
          <cell r="A59">
            <v>58</v>
          </cell>
          <cell r="B59" t="str">
            <v>Date de fab :</v>
          </cell>
          <cell r="C59" t="str">
            <v>Prod. Date :</v>
          </cell>
          <cell r="D59" t="str">
            <v>Data produkcji :</v>
          </cell>
          <cell r="E59" t="str">
            <v>Data productie :</v>
          </cell>
          <cell r="F59" t="str">
            <v>Fecha de fab. :</v>
          </cell>
          <cell r="G59" t="str">
            <v>Data de produção</v>
          </cell>
          <cell r="H59" t="str">
            <v>Termelés dátuma</v>
          </cell>
          <cell r="I59" t="str">
            <v>Dátum výroby:</v>
          </cell>
          <cell r="J59" t="str">
            <v xml:space="preserve"> </v>
          </cell>
        </row>
        <row r="60">
          <cell r="A60">
            <v>59</v>
          </cell>
          <cell r="B60" t="str">
            <v>Heure</v>
          </cell>
          <cell r="C60" t="str">
            <v>Time</v>
          </cell>
          <cell r="D60" t="str">
            <v>Godzina</v>
          </cell>
          <cell r="E60" t="str">
            <v>Ora</v>
          </cell>
          <cell r="F60" t="str">
            <v>Hora</v>
          </cell>
          <cell r="G60" t="str">
            <v>Hora</v>
          </cell>
          <cell r="H60" t="str">
            <v>Óra</v>
          </cell>
          <cell r="I60" t="str">
            <v>Cas</v>
          </cell>
          <cell r="J60" t="str">
            <v xml:space="preserve"> </v>
          </cell>
        </row>
        <row r="61">
          <cell r="A61">
            <v>60</v>
          </cell>
          <cell r="B61" t="str">
            <v>Presse</v>
          </cell>
          <cell r="C61" t="str">
            <v>Press</v>
          </cell>
          <cell r="D61" t="str">
            <v>Maszyna</v>
          </cell>
          <cell r="E61" t="str">
            <v>Presa</v>
          </cell>
          <cell r="F61" t="str">
            <v>Prensa</v>
          </cell>
          <cell r="G61" t="str">
            <v>Máquina de injecção</v>
          </cell>
          <cell r="H61" t="str">
            <v>Gép</v>
          </cell>
          <cell r="I61" t="str">
            <v>Lis</v>
          </cell>
          <cell r="J61" t="str">
            <v xml:space="preserve"> </v>
          </cell>
        </row>
        <row r="62">
          <cell r="A62">
            <v>61</v>
          </cell>
          <cell r="B62" t="str">
            <v>Date création</v>
          </cell>
          <cell r="C62" t="str">
            <v>Creation date</v>
          </cell>
          <cell r="D62" t="str">
            <v>Data stworzenia :</v>
          </cell>
          <cell r="E62" t="str">
            <v>Data de creare</v>
          </cell>
          <cell r="F62" t="str">
            <v>Fecha creación</v>
          </cell>
          <cell r="G62" t="str">
            <v>Data de abertura</v>
          </cell>
          <cell r="H62" t="str">
            <v>Készítés dátuma</v>
          </cell>
          <cell r="I62" t="str">
            <v>Dátum vytvorenia</v>
          </cell>
          <cell r="J62" t="str">
            <v xml:space="preserve"> </v>
          </cell>
        </row>
        <row r="63">
          <cell r="A63">
            <v>62</v>
          </cell>
          <cell r="B63" t="str">
            <v>Date évolution</v>
          </cell>
          <cell r="C63" t="str">
            <v>Evolution date</v>
          </cell>
          <cell r="D63" t="str">
            <v>Data zmiany :</v>
          </cell>
          <cell r="E63" t="str">
            <v>Data de evolutie</v>
          </cell>
          <cell r="F63" t="str">
            <v>Fecha evolución</v>
          </cell>
          <cell r="G63" t="str">
            <v>Data de seguimento</v>
          </cell>
          <cell r="H63" t="str">
            <v>Módosítás dátuma</v>
          </cell>
          <cell r="I63" t="str">
            <v>Revízia dàtum</v>
          </cell>
          <cell r="J63" t="str">
            <v xml:space="preserve"> </v>
          </cell>
        </row>
        <row r="64">
          <cell r="A64">
            <v>63</v>
          </cell>
          <cell r="B64" t="str">
            <v>Commentaires</v>
          </cell>
          <cell r="C64" t="str">
            <v xml:space="preserve">Comments </v>
          </cell>
          <cell r="D64" t="str">
            <v>Komentarz</v>
          </cell>
          <cell r="E64" t="str">
            <v>Comentarii</v>
          </cell>
          <cell r="F64" t="str">
            <v>Comentarios</v>
          </cell>
          <cell r="G64" t="str">
            <v>Comentários</v>
          </cell>
          <cell r="H64" t="str">
            <v>Megjegyzések</v>
          </cell>
          <cell r="I64" t="str">
            <v>Poznámky</v>
          </cell>
          <cell r="J64" t="str">
            <v xml:space="preserve"> </v>
          </cell>
        </row>
        <row r="65">
          <cell r="A65">
            <v>64</v>
          </cell>
          <cell r="B65" t="str">
            <v>Remarque</v>
          </cell>
          <cell r="C65" t="str">
            <v>Remark</v>
          </cell>
          <cell r="D65" t="str">
            <v xml:space="preserve">spostrzeżenie </v>
          </cell>
          <cell r="E65" t="str">
            <v>Remarca</v>
          </cell>
          <cell r="F65" t="str">
            <v>Comentarios</v>
          </cell>
          <cell r="G65" t="str">
            <v>Obs.</v>
          </cell>
          <cell r="H65" t="str">
            <v>Megjegyzések</v>
          </cell>
          <cell r="I65" t="str">
            <v>Poznámky</v>
          </cell>
          <cell r="J65" t="str">
            <v xml:space="preserve"> </v>
          </cell>
        </row>
        <row r="66">
          <cell r="A66">
            <v>65</v>
          </cell>
          <cell r="B66" t="str">
            <v>Initialisé par</v>
          </cell>
          <cell r="C66" t="str">
            <v>Created by</v>
          </cell>
          <cell r="D66" t="str">
            <v>Stworzone przez</v>
          </cell>
          <cell r="E66" t="str">
            <v>Initializat de</v>
          </cell>
          <cell r="F66" t="str">
            <v>Inicializado por</v>
          </cell>
          <cell r="G66" t="str">
            <v>Aberto por</v>
          </cell>
          <cell r="H66" t="str">
            <v>Készítette</v>
          </cell>
          <cell r="I66" t="str">
            <v>Vytvoril</v>
          </cell>
          <cell r="J66" t="str">
            <v xml:space="preserve"> </v>
          </cell>
        </row>
        <row r="67">
          <cell r="A67">
            <v>66</v>
          </cell>
          <cell r="B67" t="str">
            <v>Etabli par</v>
          </cell>
          <cell r="C67" t="str">
            <v>Established by</v>
          </cell>
          <cell r="D67" t="str">
            <v>Sporządzono przez</v>
          </cell>
          <cell r="E67" t="str">
            <v>Intocmit de</v>
          </cell>
          <cell r="F67" t="str">
            <v>Establecido por</v>
          </cell>
          <cell r="G67" t="str">
            <v>Realizado por</v>
          </cell>
          <cell r="H67" t="str">
            <v>Jóváhagyta</v>
          </cell>
          <cell r="I67" t="str">
            <v>zavedené kým</v>
          </cell>
          <cell r="J67" t="str">
            <v xml:space="preserve"> </v>
          </cell>
        </row>
        <row r="68">
          <cell r="A68">
            <v>67</v>
          </cell>
          <cell r="B68" t="str">
            <v xml:space="preserve">Dernière évolution </v>
          </cell>
          <cell r="C68" t="str">
            <v>Last version :</v>
          </cell>
          <cell r="D68" t="str">
            <v>Ostatnia wersja</v>
          </cell>
          <cell r="E68" t="str">
            <v>Evolutia dosarului</v>
          </cell>
          <cell r="F68" t="str">
            <v>Útima evolución</v>
          </cell>
          <cell r="G68" t="str">
            <v>Ultima revisão</v>
          </cell>
          <cell r="H68" t="str">
            <v>Utolsó verzió</v>
          </cell>
          <cell r="I68" t="str">
            <v>posledná zmena</v>
          </cell>
          <cell r="J68" t="str">
            <v xml:space="preserve"> </v>
          </cell>
        </row>
        <row r="69">
          <cell r="A69">
            <v>68</v>
          </cell>
          <cell r="B69" t="str">
            <v>Visa Qualité</v>
          </cell>
          <cell r="C69" t="str">
            <v>Quality Signature</v>
          </cell>
          <cell r="D69" t="str">
            <v>Podpis Szefa Jakości</v>
          </cell>
          <cell r="E69" t="str">
            <v>Aprobare Calitate</v>
          </cell>
          <cell r="F69" t="str">
            <v>Aprobado Calidad</v>
          </cell>
          <cell r="G69" t="str">
            <v>Verificação pela qualidade</v>
          </cell>
          <cell r="H69" t="str">
            <v>Minőségbiztosítás aláírás</v>
          </cell>
          <cell r="I69" t="str">
            <v xml:space="preserve"> --&gt; … Kvalita</v>
          </cell>
          <cell r="J69" t="str">
            <v xml:space="preserve"> </v>
          </cell>
        </row>
        <row r="70">
          <cell r="A70">
            <v>69</v>
          </cell>
          <cell r="B70" t="str">
            <v>Visa  Production</v>
          </cell>
          <cell r="C70" t="str">
            <v>Production Signature</v>
          </cell>
          <cell r="D70" t="str">
            <v>Podpis Szefa produkcji</v>
          </cell>
          <cell r="E70" t="str">
            <v>Aprobare Productie</v>
          </cell>
          <cell r="F70" t="str">
            <v>Aprobado Producción</v>
          </cell>
          <cell r="G70" t="str">
            <v>Verificação pela Produção</v>
          </cell>
          <cell r="H70" t="str">
            <v>Termelés aláírás</v>
          </cell>
          <cell r="I70" t="str">
            <v>podpis výroba</v>
          </cell>
          <cell r="J70" t="str">
            <v xml:space="preserve"> </v>
          </cell>
        </row>
        <row r="71">
          <cell r="A71">
            <v>70</v>
          </cell>
          <cell r="B71" t="str">
            <v>Signature contrôle</v>
          </cell>
          <cell r="C71" t="str">
            <v>Control signature</v>
          </cell>
          <cell r="D71" t="str">
            <v>Podpis inspektora</v>
          </cell>
          <cell r="E71" t="str">
            <v>Semnatura control</v>
          </cell>
          <cell r="F71" t="str">
            <v>Firma Control</v>
          </cell>
          <cell r="G71" t="str">
            <v>Assinatura de Controlo</v>
          </cell>
          <cell r="H71" t="str">
            <v>Kontrol jelölés</v>
          </cell>
          <cell r="I71" t="str">
            <v>podpis kontrola</v>
          </cell>
          <cell r="J71" t="str">
            <v xml:space="preserve"> </v>
          </cell>
        </row>
        <row r="72">
          <cell r="A72">
            <v>71</v>
          </cell>
          <cell r="B72" t="str">
            <v>Signature</v>
          </cell>
          <cell r="C72" t="str">
            <v>Signature</v>
          </cell>
          <cell r="D72" t="str">
            <v>Podpis</v>
          </cell>
          <cell r="E72" t="str">
            <v>Semnatura</v>
          </cell>
          <cell r="F72" t="str">
            <v>Firma</v>
          </cell>
          <cell r="G72" t="str">
            <v xml:space="preserve">Assinatura </v>
          </cell>
          <cell r="H72" t="str">
            <v>Aláírás</v>
          </cell>
          <cell r="I72" t="str">
            <v>Podpis</v>
          </cell>
          <cell r="J72" t="str">
            <v xml:space="preserve"> </v>
          </cell>
        </row>
        <row r="73">
          <cell r="A73">
            <v>72</v>
          </cell>
          <cell r="B73" t="str">
            <v>Visa contremaitre</v>
          </cell>
          <cell r="C73" t="str">
            <v>Foreman Signature</v>
          </cell>
          <cell r="D73" t="str">
            <v>Podpis podmajstrzy</v>
          </cell>
          <cell r="E73" t="str">
            <v>Semnatura sef de echipa</v>
          </cell>
          <cell r="F73" t="str">
            <v>Aprobado supervisor</v>
          </cell>
          <cell r="G73" t="str">
            <v>Assinatura do Responsável</v>
          </cell>
          <cell r="H73" t="str">
            <v>Vezető aláírása</v>
          </cell>
          <cell r="I73" t="str">
            <v>podpis majster</v>
          </cell>
          <cell r="J73" t="str">
            <v xml:space="preserve"> </v>
          </cell>
        </row>
        <row r="74">
          <cell r="A74">
            <v>73</v>
          </cell>
          <cell r="B74" t="str">
            <v>APPROBATION</v>
          </cell>
          <cell r="C74" t="str">
            <v>APPROVAL</v>
          </cell>
          <cell r="D74" t="str">
            <v>AKCEPTACJA</v>
          </cell>
          <cell r="E74" t="str">
            <v>APOBARE</v>
          </cell>
          <cell r="F74" t="str">
            <v>Aprobación</v>
          </cell>
          <cell r="G74" t="str">
            <v>Aprovação</v>
          </cell>
          <cell r="H74" t="str">
            <v>JÓVÁHAGYÁS</v>
          </cell>
          <cell r="I74" t="str">
            <v>SCHVÁLENIE</v>
          </cell>
          <cell r="J74" t="str">
            <v xml:space="preserve"> </v>
          </cell>
        </row>
        <row r="75">
          <cell r="A75">
            <v>74</v>
          </cell>
          <cell r="B75" t="str">
            <v>Nbre opérateurs</v>
          </cell>
          <cell r="C75" t="str">
            <v>Operators qty</v>
          </cell>
          <cell r="D75" t="str">
            <v>Liczba operatorów</v>
          </cell>
          <cell r="E75" t="str">
            <v>Nr. Operator</v>
          </cell>
          <cell r="F75" t="str">
            <v>Número operadores</v>
          </cell>
          <cell r="G75" t="str">
            <v>Numero de Operadores</v>
          </cell>
          <cell r="H75" t="str">
            <v>Operátor mennyiség</v>
          </cell>
          <cell r="I75" t="str">
            <v>počet operátorov</v>
          </cell>
          <cell r="J75" t="str">
            <v xml:space="preserve"> </v>
          </cell>
        </row>
        <row r="76">
          <cell r="A76">
            <v>75</v>
          </cell>
          <cell r="B76" t="str">
            <v>Equipe</v>
          </cell>
          <cell r="C76" t="str">
            <v>Shift</v>
          </cell>
          <cell r="D76" t="str">
            <v>Brygada</v>
          </cell>
          <cell r="E76" t="str">
            <v>Formatia</v>
          </cell>
          <cell r="F76" t="str">
            <v>Equipo</v>
          </cell>
          <cell r="G76" t="str">
            <v>Equipa</v>
          </cell>
          <cell r="H76" t="str">
            <v>Műszak</v>
          </cell>
          <cell r="I76" t="str">
            <v>Zmena</v>
          </cell>
          <cell r="J76" t="str">
            <v xml:space="preserve"> </v>
          </cell>
        </row>
        <row r="77">
          <cell r="A77">
            <v>76</v>
          </cell>
          <cell r="B77" t="str">
            <v>N° Lot (OF)</v>
          </cell>
          <cell r="C77" t="str">
            <v>Batch nbr</v>
          </cell>
          <cell r="D77" t="str">
            <v>N° OF</v>
          </cell>
          <cell r="E77" t="str">
            <v>Nr. Lot</v>
          </cell>
          <cell r="F77" t="str">
            <v>N° Lote</v>
          </cell>
          <cell r="G77" t="str">
            <v>Numero de lote</v>
          </cell>
          <cell r="H77" t="str">
            <v>Köteg szám</v>
          </cell>
          <cell r="I77" t="str">
            <v>číslo LOT</v>
          </cell>
          <cell r="J77" t="str">
            <v xml:space="preserve"> </v>
          </cell>
        </row>
        <row r="78">
          <cell r="A78">
            <v>77</v>
          </cell>
          <cell r="B78" t="str">
            <v>Consigne</v>
          </cell>
          <cell r="C78" t="str">
            <v>Instruction</v>
          </cell>
          <cell r="D78" t="str">
            <v>Rada</v>
          </cell>
          <cell r="E78" t="str">
            <v>Consemn</v>
          </cell>
          <cell r="F78" t="str">
            <v>Consigna</v>
          </cell>
          <cell r="G78" t="str">
            <v xml:space="preserve">Instrução </v>
          </cell>
          <cell r="H78" t="str">
            <v>Utasítás</v>
          </cell>
          <cell r="I78" t="str">
            <v>nariadenie</v>
          </cell>
          <cell r="J78" t="str">
            <v xml:space="preserve"> </v>
          </cell>
        </row>
        <row r="79">
          <cell r="A79">
            <v>78</v>
          </cell>
          <cell r="B79" t="str">
            <v>Tolérances</v>
          </cell>
          <cell r="C79" t="str">
            <v>Tolerances</v>
          </cell>
          <cell r="D79" t="str">
            <v>Tolerancja</v>
          </cell>
          <cell r="E79" t="str">
            <v>Toleranta</v>
          </cell>
          <cell r="F79" t="str">
            <v>Tolerancia</v>
          </cell>
          <cell r="G79" t="str">
            <v>Tolerancias</v>
          </cell>
          <cell r="H79" t="str">
            <v>Tűrés</v>
          </cell>
          <cell r="I79" t="str">
            <v>Tolerancia</v>
          </cell>
          <cell r="J79" t="str">
            <v xml:space="preserve"> </v>
          </cell>
        </row>
        <row r="80">
          <cell r="A80">
            <v>79</v>
          </cell>
          <cell r="B80" t="str">
            <v>Toutes</v>
          </cell>
          <cell r="C80" t="str">
            <v>All</v>
          </cell>
          <cell r="D80" t="str">
            <v>Wszystko</v>
          </cell>
          <cell r="E80" t="str">
            <v>Toate</v>
          </cell>
          <cell r="F80" t="str">
            <v>Todo</v>
          </cell>
          <cell r="G80" t="str">
            <v>Todos</v>
          </cell>
          <cell r="H80" t="str">
            <v>Egész</v>
          </cell>
          <cell r="J80" t="str">
            <v xml:space="preserve"> </v>
          </cell>
        </row>
        <row r="81">
          <cell r="A81">
            <v>80</v>
          </cell>
          <cell r="B81" t="str">
            <v xml:space="preserve">Diffusion :     </v>
          </cell>
          <cell r="C81" t="str">
            <v xml:space="preserve">Distribution to department :     </v>
          </cell>
          <cell r="D81" t="str">
            <v>Dystrybucja</v>
          </cell>
          <cell r="E81" t="str">
            <v>Difuzare :</v>
          </cell>
          <cell r="F81" t="str">
            <v>Difusión :</v>
          </cell>
          <cell r="G81" t="str">
            <v>Divulgação</v>
          </cell>
          <cell r="H81" t="str">
            <v xml:space="preserve"> --&gt; hungarian ?</v>
          </cell>
          <cell r="I81" t="str">
            <v>Rozdelenie na oddelenia</v>
          </cell>
          <cell r="J81" t="str">
            <v xml:space="preserve"> </v>
          </cell>
        </row>
        <row r="82">
          <cell r="A82">
            <v>81</v>
          </cell>
          <cell r="B82" t="str">
            <v>NA = Non applicable</v>
          </cell>
          <cell r="C82" t="str">
            <v>NA = Not applicable</v>
          </cell>
          <cell r="D82" t="str">
            <v>NA = Nie dotyczy</v>
          </cell>
          <cell r="E82" t="str">
            <v>NA = Neaplicabila</v>
          </cell>
          <cell r="F82" t="str">
            <v>NA = No aplicable</v>
          </cell>
          <cell r="G82" t="str">
            <v>Não aplicável</v>
          </cell>
          <cell r="H82" t="str">
            <v>NA = Nem alkalmazható</v>
          </cell>
          <cell r="I82" t="str">
            <v>neaplikovateľné</v>
          </cell>
          <cell r="J82" t="str">
            <v xml:space="preserve"> </v>
          </cell>
        </row>
        <row r="83">
          <cell r="A83">
            <v>82</v>
          </cell>
          <cell r="B83" t="str">
            <v>Visa du Responsable Qualité</v>
          </cell>
          <cell r="C83" t="str">
            <v>Quality Manager Signature</v>
          </cell>
          <cell r="D83" t="str">
            <v>Podpis Kierownika Jakości</v>
          </cell>
          <cell r="E83" t="str">
            <v>Semnatura responsabilului de calitate</v>
          </cell>
          <cell r="F83" t="str">
            <v>Aprobado jefe de Calidad</v>
          </cell>
          <cell r="G83" t="str">
            <v>Assinatura do Director de Qualidade</v>
          </cell>
          <cell r="H83" t="str">
            <v>Minőségbiztosítási vezető aláírás</v>
          </cell>
          <cell r="I83" t="str">
            <v>podpis manažéra kvality</v>
          </cell>
          <cell r="J83" t="str">
            <v xml:space="preserve"> </v>
          </cell>
        </row>
        <row r="84">
          <cell r="A84">
            <v>83</v>
          </cell>
          <cell r="B84" t="str">
            <v>Type</v>
          </cell>
          <cell r="C84" t="str">
            <v>Type</v>
          </cell>
          <cell r="D84" t="str">
            <v>Typ</v>
          </cell>
          <cell r="E84" t="str">
            <v>Tip</v>
          </cell>
          <cell r="F84" t="str">
            <v>Tipo</v>
          </cell>
          <cell r="G84" t="str">
            <v>Tipo</v>
          </cell>
          <cell r="H84" t="str">
            <v>Típus</v>
          </cell>
          <cell r="I84" t="str">
            <v>typ</v>
          </cell>
          <cell r="J84" t="str">
            <v xml:space="preserve"> </v>
          </cell>
        </row>
        <row r="85">
          <cell r="A85">
            <v>84</v>
          </cell>
          <cell r="B85" t="str">
            <v>Numéro</v>
          </cell>
          <cell r="C85" t="str">
            <v>Number</v>
          </cell>
          <cell r="D85" t="str">
            <v>Numer</v>
          </cell>
          <cell r="E85" t="str">
            <v>Numarul</v>
          </cell>
          <cell r="F85" t="str">
            <v>Número</v>
          </cell>
          <cell r="G85" t="str">
            <v>Numero</v>
          </cell>
          <cell r="H85" t="str">
            <v>Szám</v>
          </cell>
          <cell r="I85" t="str">
            <v>Číslo</v>
          </cell>
          <cell r="J85" t="str">
            <v xml:space="preserve"> </v>
          </cell>
        </row>
        <row r="86">
          <cell r="A86">
            <v>85</v>
          </cell>
          <cell r="B86" t="str">
            <v>Plan</v>
          </cell>
          <cell r="C86" t="str">
            <v>Drawing</v>
          </cell>
          <cell r="D86" t="str">
            <v>Rysunek</v>
          </cell>
          <cell r="E86" t="str">
            <v>Plan</v>
          </cell>
          <cell r="F86" t="str">
            <v>Plano</v>
          </cell>
          <cell r="G86" t="str">
            <v>Desenho</v>
          </cell>
          <cell r="H86" t="str">
            <v>Rajz</v>
          </cell>
          <cell r="I86" t="str">
            <v>Plán</v>
          </cell>
          <cell r="J86" t="str">
            <v xml:space="preserve"> </v>
          </cell>
        </row>
        <row r="87">
          <cell r="A87">
            <v>86</v>
          </cell>
          <cell r="B87" t="str">
            <v>Schéma</v>
          </cell>
          <cell r="C87" t="str">
            <v>Diagram</v>
          </cell>
          <cell r="D87" t="str">
            <v>Schemat</v>
          </cell>
          <cell r="E87" t="str">
            <v>Schema(e)</v>
          </cell>
          <cell r="F87" t="str">
            <v>Esquema</v>
          </cell>
          <cell r="G87" t="str">
            <v>Esquema</v>
          </cell>
          <cell r="H87" t="str">
            <v>Rajzok</v>
          </cell>
          <cell r="I87" t="str">
            <v>schéma</v>
          </cell>
          <cell r="J87" t="str">
            <v xml:space="preserve"> </v>
          </cell>
        </row>
        <row r="88">
          <cell r="A88">
            <v>87</v>
          </cell>
          <cell r="B88" t="str">
            <v>Plan d'actions :</v>
          </cell>
          <cell r="C88" t="str">
            <v>Action plan :</v>
          </cell>
          <cell r="D88" t="str">
            <v>Plan działania</v>
          </cell>
          <cell r="E88" t="str">
            <v>Planul de actiune</v>
          </cell>
          <cell r="F88" t="str">
            <v>Plan de acciones</v>
          </cell>
          <cell r="G88" t="str">
            <v>Plano de acções</v>
          </cell>
          <cell r="H88" t="str">
            <v>Akciók terv</v>
          </cell>
          <cell r="I88" t="str">
            <v>akčný plán</v>
          </cell>
          <cell r="J88" t="str">
            <v xml:space="preserve"> </v>
          </cell>
        </row>
        <row r="89">
          <cell r="A89">
            <v>88</v>
          </cell>
          <cell r="B89" t="str">
            <v>Actions immédiates</v>
          </cell>
          <cell r="C89" t="str">
            <v>Immediates actions</v>
          </cell>
          <cell r="D89" t="str">
            <v>Działania natychmiastowe</v>
          </cell>
          <cell r="E89" t="str">
            <v>Actiuni imediate</v>
          </cell>
          <cell r="F89" t="str">
            <v>Acciones inmediatas</v>
          </cell>
          <cell r="G89" t="str">
            <v>Acções imediatas</v>
          </cell>
          <cell r="H89" t="str">
            <v>Azonnali akciók</v>
          </cell>
          <cell r="I89" t="str">
            <v>okamžitá akcia</v>
          </cell>
          <cell r="J89" t="str">
            <v xml:space="preserve"> </v>
          </cell>
        </row>
        <row r="90">
          <cell r="A90">
            <v>89</v>
          </cell>
          <cell r="B90" t="str">
            <v>Actions correctives</v>
          </cell>
          <cell r="C90" t="str">
            <v>Corrective actions</v>
          </cell>
          <cell r="D90" t="str">
            <v>Działania Korekcyjne</v>
          </cell>
          <cell r="E90" t="str">
            <v>Actiuni corective</v>
          </cell>
          <cell r="F90" t="str">
            <v>Acciónes correctivas</v>
          </cell>
          <cell r="G90" t="str">
            <v>Acções corretivas</v>
          </cell>
          <cell r="H90" t="str">
            <v>Javító intézkedések</v>
          </cell>
          <cell r="I90" t="str">
            <v>nápravná akcia</v>
          </cell>
          <cell r="J90" t="str">
            <v xml:space="preserve"> </v>
          </cell>
        </row>
        <row r="91">
          <cell r="A91">
            <v>90</v>
          </cell>
          <cell r="B91" t="str">
            <v>Actions préventives</v>
          </cell>
          <cell r="C91" t="str">
            <v>Preventive actions</v>
          </cell>
          <cell r="D91" t="str">
            <v>Działania prewencyjne</v>
          </cell>
          <cell r="E91" t="str">
            <v>Actiuni preventive</v>
          </cell>
          <cell r="F91" t="str">
            <v>Acciónes preventivas</v>
          </cell>
          <cell r="G91" t="str">
            <v>Acções Preventivas</v>
          </cell>
          <cell r="H91" t="str">
            <v xml:space="preserve"> --&gt; hungarian ?</v>
          </cell>
          <cell r="I91" t="str">
            <v>preventívna akcia</v>
          </cell>
          <cell r="J91" t="str">
            <v xml:space="preserve"> </v>
          </cell>
        </row>
        <row r="92">
          <cell r="A92">
            <v>91</v>
          </cell>
          <cell r="B92" t="str">
            <v>Audit</v>
          </cell>
          <cell r="C92" t="str">
            <v>Audit</v>
          </cell>
          <cell r="D92" t="str">
            <v>Audyt</v>
          </cell>
          <cell r="E92" t="str">
            <v>Audit</v>
          </cell>
          <cell r="F92" t="str">
            <v>Auditoría</v>
          </cell>
          <cell r="G92" t="str">
            <v>Auditoria</v>
          </cell>
          <cell r="H92" t="str">
            <v xml:space="preserve"> --&gt; hungarian ?</v>
          </cell>
          <cell r="I92" t="str">
            <v>audit</v>
          </cell>
          <cell r="J92" t="str">
            <v xml:space="preserve"> </v>
          </cell>
        </row>
        <row r="93">
          <cell r="A93">
            <v>92</v>
          </cell>
          <cell r="B93" t="str">
            <v>Audit interne</v>
          </cell>
          <cell r="C93" t="str">
            <v>Internal audit</v>
          </cell>
          <cell r="D93" t="str">
            <v>Audyt wewnetrzny</v>
          </cell>
          <cell r="E93" t="str">
            <v>Audit intern</v>
          </cell>
          <cell r="F93" t="str">
            <v>Auditoría interna</v>
          </cell>
          <cell r="G93" t="str">
            <v>Auditoria Interna</v>
          </cell>
          <cell r="H93" t="str">
            <v>Belsõ audit</v>
          </cell>
          <cell r="I93" t="str">
            <v>interný audit</v>
          </cell>
          <cell r="J93" t="str">
            <v xml:space="preserve"> </v>
          </cell>
        </row>
        <row r="94">
          <cell r="A94">
            <v>93</v>
          </cell>
          <cell r="B94" t="str">
            <v>Audit process</v>
          </cell>
          <cell r="C94" t="str">
            <v>Process audit</v>
          </cell>
          <cell r="D94" t="str">
            <v>Audyt procesu</v>
          </cell>
          <cell r="E94" t="str">
            <v>Audit proces</v>
          </cell>
          <cell r="F94" t="str">
            <v>Auditoría process</v>
          </cell>
          <cell r="G94" t="str">
            <v>Auditoria de processo</v>
          </cell>
          <cell r="H94" t="str">
            <v xml:space="preserve"> --&gt; hungarian ?</v>
          </cell>
          <cell r="I94" t="str">
            <v>audit procesu</v>
          </cell>
          <cell r="J94" t="str">
            <v xml:space="preserve"> </v>
          </cell>
        </row>
        <row r="95">
          <cell r="A95">
            <v>94</v>
          </cell>
          <cell r="B95" t="str">
            <v>Audit produit</v>
          </cell>
          <cell r="C95" t="str">
            <v>Product audit</v>
          </cell>
          <cell r="D95" t="str">
            <v>Audyt produktu</v>
          </cell>
          <cell r="E95" t="str">
            <v>Audit produs</v>
          </cell>
          <cell r="F95" t="str">
            <v>Auditoría producto</v>
          </cell>
          <cell r="G95" t="str">
            <v>Auditoria de Produto</v>
          </cell>
          <cell r="H95" t="str">
            <v xml:space="preserve"> --&gt; hungarian ?</v>
          </cell>
          <cell r="I95" t="str">
            <v>audit produktu</v>
          </cell>
          <cell r="J95" t="str">
            <v xml:space="preserve"> </v>
          </cell>
        </row>
        <row r="96">
          <cell r="A96">
            <v>95</v>
          </cell>
          <cell r="B96" t="str">
            <v>Audit thématique</v>
          </cell>
          <cell r="C96" t="str">
            <v>Thematic audit</v>
          </cell>
          <cell r="D96" t="str">
            <v>Audyt tematyczny</v>
          </cell>
          <cell r="E96" t="str">
            <v>Audit tematic</v>
          </cell>
          <cell r="F96" t="str">
            <v>Auditoría temática</v>
          </cell>
          <cell r="G96" t="str">
            <v>Auditoria Temática</v>
          </cell>
          <cell r="H96" t="str">
            <v xml:space="preserve"> --&gt; hungarian ?</v>
          </cell>
          <cell r="I96" t="str">
            <v>tématický audit</v>
          </cell>
          <cell r="J96" t="str">
            <v xml:space="preserve"> </v>
          </cell>
        </row>
        <row r="97">
          <cell r="A97">
            <v>96</v>
          </cell>
          <cell r="B97" t="str">
            <v>Fréquence</v>
          </cell>
          <cell r="C97" t="str">
            <v xml:space="preserve">Frequency </v>
          </cell>
          <cell r="D97" t="str">
            <v>Częstotliwość</v>
          </cell>
          <cell r="E97" t="str">
            <v>Frecventa</v>
          </cell>
          <cell r="F97" t="str">
            <v>Frecuencia</v>
          </cell>
          <cell r="G97" t="str">
            <v>Frequência</v>
          </cell>
          <cell r="H97" t="str">
            <v>Gyakoriság</v>
          </cell>
          <cell r="I97" t="str">
            <v>Frekvencia</v>
          </cell>
          <cell r="J97" t="str">
            <v xml:space="preserve"> </v>
          </cell>
        </row>
        <row r="98">
          <cell r="A98">
            <v>97</v>
          </cell>
          <cell r="B98" t="str">
            <v>Interne</v>
          </cell>
          <cell r="C98" t="str">
            <v>Internal</v>
          </cell>
          <cell r="D98" t="str">
            <v>Wewnetrzny</v>
          </cell>
          <cell r="E98" t="str">
            <v>Intern</v>
          </cell>
          <cell r="F98" t="str">
            <v>Interno</v>
          </cell>
          <cell r="G98" t="str">
            <v>Interna</v>
          </cell>
          <cell r="H98" t="str">
            <v>Belsõ</v>
          </cell>
          <cell r="I98" t="str">
            <v>interný</v>
          </cell>
          <cell r="J98" t="str">
            <v xml:space="preserve"> </v>
          </cell>
        </row>
        <row r="99">
          <cell r="A99">
            <v>98</v>
          </cell>
          <cell r="B99" t="str">
            <v>Externe</v>
          </cell>
          <cell r="C99" t="str">
            <v>External</v>
          </cell>
          <cell r="D99" t="str">
            <v>Zewnetrzny</v>
          </cell>
          <cell r="E99" t="str">
            <v>Extern</v>
          </cell>
          <cell r="F99" t="str">
            <v>Externo</v>
          </cell>
          <cell r="G99" t="str">
            <v>Externa</v>
          </cell>
          <cell r="H99" t="str">
            <v>Külsõ</v>
          </cell>
          <cell r="I99" t="str">
            <v>externý</v>
          </cell>
          <cell r="J99" t="str">
            <v xml:space="preserve"> </v>
          </cell>
        </row>
        <row r="100">
          <cell r="A100">
            <v>99</v>
          </cell>
          <cell r="B100" t="str">
            <v>Durée de conservation : vie du produit</v>
          </cell>
          <cell r="C100" t="str">
            <v>Lenght of time kept : End of product</v>
          </cell>
          <cell r="D100" t="str">
            <v>Czas przechowywania: Koniec produktu</v>
          </cell>
          <cell r="E100" t="str">
            <v>Arhivare : sfarsit de produs</v>
          </cell>
          <cell r="F100" t="str">
            <v>Duración de conservación : duración de vida del producto</v>
          </cell>
          <cell r="G100" t="str">
            <v>Periodo de arquivo: Vida do produto</v>
          </cell>
          <cell r="H100" t="str">
            <v xml:space="preserve"> --&gt; hungarian ?</v>
          </cell>
          <cell r="I100" t="str">
            <v>trvá dobu určitú : životnosť výrobku</v>
          </cell>
          <cell r="J100" t="str">
            <v xml:space="preserve"> </v>
          </cell>
        </row>
        <row r="101">
          <cell r="A101">
            <v>100</v>
          </cell>
          <cell r="B101" t="str">
            <v>Durée de conservation : 2 ans</v>
          </cell>
          <cell r="C101" t="str">
            <v>Length of time kept : 2 years</v>
          </cell>
          <cell r="D101" t="str">
            <v>Czas przechowywania: 2 lata</v>
          </cell>
          <cell r="E101" t="str">
            <v>Durata de conservare : 2 ani</v>
          </cell>
          <cell r="F101" t="str">
            <v>Duración de conservación : 2 años</v>
          </cell>
          <cell r="G101" t="str">
            <v>Periodo de arquivo: 2 anos</v>
          </cell>
          <cell r="H101" t="str">
            <v>Megőrzési idő : 2 év</v>
          </cell>
          <cell r="I101" t="str">
            <v>trvá dobu určitú : 2 roky</v>
          </cell>
          <cell r="J101" t="str">
            <v xml:space="preserve"> </v>
          </cell>
        </row>
        <row r="102">
          <cell r="A102">
            <v>101</v>
          </cell>
          <cell r="B102" t="str">
            <v>Durée de conservation : 15 ans</v>
          </cell>
          <cell r="C102" t="str">
            <v>Length of time kept  : 15 years</v>
          </cell>
          <cell r="D102" t="str">
            <v>Czas przechowywania: 15 lata</v>
          </cell>
          <cell r="E102" t="str">
            <v>Durata de conservare : 15 ani</v>
          </cell>
          <cell r="F102" t="str">
            <v>Duración de conservación : 15 años</v>
          </cell>
          <cell r="G102" t="str">
            <v>Periodo de arquivo: 15 anos</v>
          </cell>
          <cell r="H102" t="str">
            <v>Megőrzési idő : 15 év</v>
          </cell>
          <cell r="I102" t="str">
            <v>trvá dobu určitú : 15 rokov</v>
          </cell>
          <cell r="J102" t="str">
            <v xml:space="preserve"> </v>
          </cell>
        </row>
        <row r="103">
          <cell r="A103">
            <v>102</v>
          </cell>
          <cell r="B103" t="str">
            <v>Durée de conservation : Dernière mise à jour</v>
          </cell>
          <cell r="C103" t="str">
            <v>Length of time kept  : Last updated</v>
          </cell>
          <cell r="D103" t="str">
            <v>Czas przechowywania: ostatnia zmiana</v>
          </cell>
          <cell r="E103" t="str">
            <v>Durata de pastrare: ultima actualizare</v>
          </cell>
          <cell r="F103" t="str">
            <v>Archivo : último actualización</v>
          </cell>
          <cell r="G103" t="str">
            <v>Periodo de arquivo: Ultima revisão</v>
          </cell>
          <cell r="H103" t="str">
            <v>Megőrzési idő : A következő verzióig</v>
          </cell>
          <cell r="I103" t="str">
            <v>trvá dobu určitú : posledná aktualizácia</v>
          </cell>
          <cell r="J103" t="str">
            <v xml:space="preserve"> </v>
          </cell>
        </row>
        <row r="104">
          <cell r="A104">
            <v>103</v>
          </cell>
          <cell r="B104" t="str">
            <v>Niveau</v>
          </cell>
          <cell r="C104" t="str">
            <v>Level</v>
          </cell>
          <cell r="D104" t="str">
            <v>Poziom</v>
          </cell>
          <cell r="E104" t="str">
            <v>Nivel</v>
          </cell>
          <cell r="F104" t="str">
            <v>Nivel</v>
          </cell>
          <cell r="G104" t="str">
            <v>Nivel</v>
          </cell>
          <cell r="H104" t="str">
            <v>Szint</v>
          </cell>
          <cell r="I104" t="str">
            <v>úroveň</v>
          </cell>
          <cell r="J104" t="str">
            <v xml:space="preserve"> </v>
          </cell>
        </row>
        <row r="105">
          <cell r="A105">
            <v>104</v>
          </cell>
          <cell r="B105" t="str">
            <v>Emballage</v>
          </cell>
          <cell r="C105" t="str">
            <v>Packing</v>
          </cell>
          <cell r="D105" t="str">
            <v>Opakowanie</v>
          </cell>
          <cell r="E105" t="str">
            <v>Ambalare</v>
          </cell>
          <cell r="F105" t="str">
            <v>Embalaje</v>
          </cell>
          <cell r="G105" t="str">
            <v>Embalagem</v>
          </cell>
          <cell r="H105" t="str">
            <v>Csomagolási</v>
          </cell>
          <cell r="I105" t="str">
            <v>balenie (typ)</v>
          </cell>
          <cell r="J105" t="str">
            <v xml:space="preserve"> </v>
          </cell>
        </row>
        <row r="106">
          <cell r="A106">
            <v>105</v>
          </cell>
          <cell r="B106" t="str">
            <v>Conditionnement</v>
          </cell>
          <cell r="C106" t="str">
            <v>Packaging</v>
          </cell>
          <cell r="D106" t="str">
            <v>Pakowania</v>
          </cell>
          <cell r="E106" t="str">
            <v>Ambalare</v>
          </cell>
          <cell r="F106" t="str">
            <v>Envase</v>
          </cell>
          <cell r="G106" t="str">
            <v>Embalagem</v>
          </cell>
          <cell r="H106" t="str">
            <v>Csomagolási</v>
          </cell>
          <cell r="I106" t="str">
            <v>balenie (spôsob balenia)</v>
          </cell>
          <cell r="J106" t="str">
            <v xml:space="preserve"> </v>
          </cell>
        </row>
        <row r="107">
          <cell r="A107">
            <v>106</v>
          </cell>
          <cell r="B107" t="str">
            <v>fois</v>
          </cell>
          <cell r="C107" t="str">
            <v>times</v>
          </cell>
          <cell r="D107" t="str">
            <v>raz</v>
          </cell>
          <cell r="E107" t="str">
            <v>ori</v>
          </cell>
          <cell r="F107" t="str">
            <v>Vez</v>
          </cell>
          <cell r="G107" t="str">
            <v>Vezes</v>
          </cell>
          <cell r="H107" t="str">
            <v>Szor</v>
          </cell>
          <cell r="I107" t="str">
            <v>krát</v>
          </cell>
          <cell r="J107" t="str">
            <v xml:space="preserve"> </v>
          </cell>
        </row>
        <row r="108">
          <cell r="A108">
            <v>107</v>
          </cell>
          <cell r="B108" t="str">
            <v>Tol</v>
          </cell>
          <cell r="C108" t="str">
            <v>Tol</v>
          </cell>
          <cell r="D108" t="str">
            <v>Tol</v>
          </cell>
          <cell r="E108" t="str">
            <v>Tol</v>
          </cell>
          <cell r="F108" t="str">
            <v>Tol</v>
          </cell>
          <cell r="G108" t="str">
            <v>Ferramenta</v>
          </cell>
          <cell r="H108" t="str">
            <v>Tűr</v>
          </cell>
          <cell r="I108" t="str">
            <v>Tol</v>
          </cell>
          <cell r="J108" t="str">
            <v xml:space="preserve"> </v>
          </cell>
        </row>
        <row r="109">
          <cell r="A109">
            <v>108</v>
          </cell>
          <cell r="B109" t="str">
            <v>Nbre</v>
          </cell>
          <cell r="C109" t="str">
            <v>Qty</v>
          </cell>
          <cell r="D109" t="str">
            <v>Liczba</v>
          </cell>
          <cell r="E109" t="str">
            <v>Num.</v>
          </cell>
          <cell r="F109" t="str">
            <v>Núm</v>
          </cell>
          <cell r="G109" t="str">
            <v>Quantidade</v>
          </cell>
          <cell r="H109" t="str">
            <v>Szám</v>
          </cell>
          <cell r="I109" t="str">
            <v>číslo alebo počet</v>
          </cell>
          <cell r="J109" t="str">
            <v xml:space="preserve"> </v>
          </cell>
        </row>
        <row r="110">
          <cell r="A110">
            <v>109</v>
          </cell>
          <cell r="B110" t="str">
            <v>Pièce</v>
          </cell>
          <cell r="C110" t="str">
            <v>Part</v>
          </cell>
          <cell r="D110" t="str">
            <v>Sztuk</v>
          </cell>
          <cell r="E110" t="str">
            <v>Piesa</v>
          </cell>
          <cell r="F110" t="str">
            <v>Pieza</v>
          </cell>
          <cell r="G110" t="str">
            <v>Peça</v>
          </cell>
          <cell r="H110" t="str">
            <v>Aláírás</v>
          </cell>
          <cell r="I110" t="str">
            <v>Výrobok</v>
          </cell>
          <cell r="J110" t="str">
            <v xml:space="preserve"> </v>
          </cell>
        </row>
        <row r="111">
          <cell r="A111">
            <v>110</v>
          </cell>
          <cell r="B111" t="str">
            <v>Unité</v>
          </cell>
          <cell r="C111" t="str">
            <v>Unit</v>
          </cell>
          <cell r="D111" t="str">
            <v>Jednostka</v>
          </cell>
          <cell r="E111" t="str">
            <v>Unitate</v>
          </cell>
          <cell r="F111" t="str">
            <v>Unidad</v>
          </cell>
          <cell r="G111" t="str">
            <v>Unidade</v>
          </cell>
          <cell r="H111" t="str">
            <v>M.Egység</v>
          </cell>
          <cell r="I111" t="str">
            <v>Jednokka</v>
          </cell>
          <cell r="J111" t="str">
            <v xml:space="preserve"> </v>
          </cell>
        </row>
        <row r="112">
          <cell r="A112">
            <v>111</v>
          </cell>
          <cell r="B112" t="str">
            <v>Nombre</v>
          </cell>
          <cell r="C112" t="str">
            <v>Quantity</v>
          </cell>
          <cell r="D112" t="str">
            <v>Liczba</v>
          </cell>
          <cell r="E112" t="str">
            <v>Numar</v>
          </cell>
          <cell r="F112" t="str">
            <v>Cantidad</v>
          </cell>
          <cell r="G112" t="str">
            <v>Quantidade</v>
          </cell>
          <cell r="H112" t="str">
            <v>Mennyiség</v>
          </cell>
          <cell r="I112" t="str">
            <v>Počet</v>
          </cell>
          <cell r="J112" t="str">
            <v xml:space="preserve"> </v>
          </cell>
        </row>
        <row r="113">
          <cell r="A113">
            <v>112</v>
          </cell>
          <cell r="B113" t="str">
            <v>Pression</v>
          </cell>
          <cell r="C113" t="str">
            <v>Pressure</v>
          </cell>
          <cell r="D113" t="str">
            <v>Ciśnienie</v>
          </cell>
          <cell r="E113" t="str">
            <v>Presiune</v>
          </cell>
          <cell r="F113" t="str">
            <v>Presión</v>
          </cell>
          <cell r="G113" t="str">
            <v>Pressão</v>
          </cell>
          <cell r="H113" t="str">
            <v>Nyomás</v>
          </cell>
          <cell r="I113" t="str">
            <v>Tlak</v>
          </cell>
          <cell r="J113" t="str">
            <v xml:space="preserve"> </v>
          </cell>
        </row>
        <row r="114">
          <cell r="A114">
            <v>113</v>
          </cell>
          <cell r="B114" t="str">
            <v>Vitesse</v>
          </cell>
          <cell r="C114" t="str">
            <v>Speed</v>
          </cell>
          <cell r="D114" t="str">
            <v>Prędkość</v>
          </cell>
          <cell r="E114" t="str">
            <v>Viteza</v>
          </cell>
          <cell r="F114" t="str">
            <v>Velocidad</v>
          </cell>
          <cell r="G114" t="str">
            <v>Velocidade</v>
          </cell>
          <cell r="H114" t="str">
            <v>Sebesség</v>
          </cell>
          <cell r="I114" t="str">
            <v>Rýchlosť</v>
          </cell>
          <cell r="J114" t="str">
            <v xml:space="preserve"> </v>
          </cell>
        </row>
        <row r="115">
          <cell r="A115">
            <v>114</v>
          </cell>
          <cell r="B115" t="str">
            <v>Epaisseur</v>
          </cell>
          <cell r="C115" t="str">
            <v>Thickness</v>
          </cell>
          <cell r="D115" t="str">
            <v>Wysokość</v>
          </cell>
          <cell r="E115" t="str">
            <v>Adancime</v>
          </cell>
          <cell r="F115" t="str">
            <v>Espesor</v>
          </cell>
          <cell r="G115" t="str">
            <v>Espessura</v>
          </cell>
          <cell r="H115" t="str">
            <v>Vastagság</v>
          </cell>
          <cell r="I115" t="str">
            <v>Hrúbka</v>
          </cell>
          <cell r="J115" t="str">
            <v xml:space="preserve"> </v>
          </cell>
        </row>
        <row r="116">
          <cell r="A116">
            <v>115</v>
          </cell>
          <cell r="B116" t="str">
            <v xml:space="preserve">Largeur </v>
          </cell>
          <cell r="C116" t="str">
            <v>Width</v>
          </cell>
          <cell r="D116" t="str">
            <v>Szerokość</v>
          </cell>
          <cell r="E116" t="str">
            <v>Largime</v>
          </cell>
          <cell r="F116" t="str">
            <v>Anchura</v>
          </cell>
          <cell r="G116" t="str">
            <v>Largura</v>
          </cell>
          <cell r="H116" t="str">
            <v>Szélesség</v>
          </cell>
          <cell r="I116" t="str">
            <v>Šírka</v>
          </cell>
          <cell r="J116" t="str">
            <v xml:space="preserve"> </v>
          </cell>
        </row>
        <row r="117">
          <cell r="A117">
            <v>116</v>
          </cell>
          <cell r="B117" t="str">
            <v>Longueur</v>
          </cell>
          <cell r="C117" t="str">
            <v>Length</v>
          </cell>
          <cell r="D117" t="str">
            <v>Długość</v>
          </cell>
          <cell r="E117" t="str">
            <v>Lungime</v>
          </cell>
          <cell r="F117" t="str">
            <v>Longitud</v>
          </cell>
          <cell r="G117" t="str">
            <v>Comprimento</v>
          </cell>
          <cell r="H117" t="str">
            <v>Hosszúsán</v>
          </cell>
          <cell r="I117" t="str">
            <v xml:space="preserve">Dĺžka </v>
          </cell>
          <cell r="J117" t="str">
            <v xml:space="preserve"> </v>
          </cell>
        </row>
        <row r="118">
          <cell r="A118">
            <v>117</v>
          </cell>
          <cell r="B118" t="str">
            <v xml:space="preserve">Hauteur </v>
          </cell>
          <cell r="C118" t="str">
            <v>Height</v>
          </cell>
          <cell r="D118" t="str">
            <v>Wysokość</v>
          </cell>
          <cell r="E118" t="str">
            <v>Inaltime</v>
          </cell>
          <cell r="F118" t="str">
            <v>Altura</v>
          </cell>
          <cell r="G118" t="str">
            <v>Altura</v>
          </cell>
          <cell r="H118" t="str">
            <v>Magasság</v>
          </cell>
          <cell r="I118" t="str">
            <v>Výška</v>
          </cell>
          <cell r="J118" t="str">
            <v xml:space="preserve"> </v>
          </cell>
        </row>
        <row r="119">
          <cell r="A119">
            <v>118</v>
          </cell>
          <cell r="B119" t="str">
            <v>Poids</v>
          </cell>
          <cell r="C119" t="str">
            <v>Weight</v>
          </cell>
          <cell r="D119" t="str">
            <v>Waga</v>
          </cell>
          <cell r="E119" t="str">
            <v>Greutate</v>
          </cell>
          <cell r="F119" t="str">
            <v>Peso</v>
          </cell>
          <cell r="G119" t="str">
            <v>Peso</v>
          </cell>
          <cell r="H119" t="str">
            <v>Tömeg</v>
          </cell>
          <cell r="I119" t="str">
            <v>Hmotnosť</v>
          </cell>
          <cell r="J119" t="str">
            <v xml:space="preserve"> </v>
          </cell>
        </row>
        <row r="120">
          <cell r="A120">
            <v>119</v>
          </cell>
          <cell r="B120" t="str">
            <v>Planéité</v>
          </cell>
          <cell r="C120" t="str">
            <v>Flatness</v>
          </cell>
          <cell r="D120" t="str">
            <v>Płaskość</v>
          </cell>
          <cell r="E120" t="str">
            <v>Planeitate</v>
          </cell>
          <cell r="F120" t="str">
            <v>Planitud</v>
          </cell>
          <cell r="G120" t="str">
            <v>Planicidade</v>
          </cell>
          <cell r="H120" t="str">
            <v>Laposság</v>
          </cell>
          <cell r="I120" t="str">
            <v>rovinnosť</v>
          </cell>
          <cell r="J120" t="str">
            <v xml:space="preserve"> </v>
          </cell>
        </row>
        <row r="121">
          <cell r="A121">
            <v>120</v>
          </cell>
          <cell r="B121" t="str">
            <v>Cote</v>
          </cell>
          <cell r="C121" t="str">
            <v>Dimension</v>
          </cell>
          <cell r="D121" t="str">
            <v>Wymiar</v>
          </cell>
          <cell r="E121" t="str">
            <v>Cota</v>
          </cell>
          <cell r="F121" t="str">
            <v>Cota</v>
          </cell>
          <cell r="G121" t="str">
            <v>Dimensão</v>
          </cell>
          <cell r="H121" t="str">
            <v>Dimenzió</v>
          </cell>
          <cell r="I121" t="str">
            <v>Kóta</v>
          </cell>
          <cell r="J121" t="str">
            <v xml:space="preserve"> </v>
          </cell>
        </row>
        <row r="122">
          <cell r="A122">
            <v>121</v>
          </cell>
          <cell r="B122" t="str">
            <v>Cote fonctionnelle</v>
          </cell>
          <cell r="C122" t="str">
            <v>functional dimension</v>
          </cell>
          <cell r="D122" t="str">
            <v>Wymiar funkcjonalny</v>
          </cell>
          <cell r="E122" t="str">
            <v>Dimensiune functionala</v>
          </cell>
          <cell r="F122" t="str">
            <v>Cota funcional</v>
          </cell>
          <cell r="G122" t="str">
            <v>Dimensaõ funcional</v>
          </cell>
          <cell r="H122" t="str">
            <v>Dimenzió</v>
          </cell>
          <cell r="I122" t="str">
            <v>funkčný rozmer</v>
          </cell>
          <cell r="J122" t="str">
            <v xml:space="preserve"> </v>
          </cell>
        </row>
        <row r="123">
          <cell r="A123">
            <v>122</v>
          </cell>
          <cell r="B123" t="str">
            <v xml:space="preserve">Couple de dévissage </v>
          </cell>
          <cell r="C123" t="str">
            <v>unscrewing torque</v>
          </cell>
          <cell r="D123" t="str">
            <v>Moment odkręcania</v>
          </cell>
          <cell r="E123" t="str">
            <v>cupla de desurubare</v>
          </cell>
          <cell r="F123" t="str">
            <v>Par de apriete</v>
          </cell>
          <cell r="G123" t="str">
            <v>Torque desmontagem</v>
          </cell>
          <cell r="H123" t="str">
            <v xml:space="preserve"> --&gt; hungarian ?</v>
          </cell>
          <cell r="I123" t="str">
            <v>skrutkovací moment</v>
          </cell>
          <cell r="J123" t="str">
            <v xml:space="preserve"> </v>
          </cell>
        </row>
        <row r="124">
          <cell r="A124">
            <v>123</v>
          </cell>
          <cell r="B124" t="str">
            <v>Capteur</v>
          </cell>
          <cell r="C124" t="str">
            <v>Sensor</v>
          </cell>
          <cell r="D124" t="str">
            <v>sensor</v>
          </cell>
          <cell r="E124" t="str">
            <v>Senzor</v>
          </cell>
          <cell r="F124" t="str">
            <v>Sensor</v>
          </cell>
          <cell r="G124" t="str">
            <v>Sensor</v>
          </cell>
          <cell r="H124" t="str">
            <v xml:space="preserve"> --&gt; hungarian ?</v>
          </cell>
          <cell r="I124" t="str">
            <v>senzor</v>
          </cell>
          <cell r="J124" t="str">
            <v xml:space="preserve"> </v>
          </cell>
        </row>
        <row r="125">
          <cell r="A125">
            <v>124</v>
          </cell>
          <cell r="B125" t="str">
            <v>Comparateur</v>
          </cell>
          <cell r="C125" t="str">
            <v>Indicator</v>
          </cell>
          <cell r="D125" t="str">
            <v>Komparator</v>
          </cell>
          <cell r="E125" t="str">
            <v>Comparator</v>
          </cell>
          <cell r="F125" t="str">
            <v>Comparador</v>
          </cell>
          <cell r="G125" t="str">
            <v>Comparador</v>
          </cell>
          <cell r="H125" t="str">
            <v xml:space="preserve"> --&gt; hungarian ?</v>
          </cell>
          <cell r="I125" t="str">
            <v>Čiselníkový odchýlkomer</v>
          </cell>
          <cell r="J125" t="str">
            <v xml:space="preserve"> </v>
          </cell>
        </row>
        <row r="126">
          <cell r="A126">
            <v>125</v>
          </cell>
          <cell r="B126" t="str">
            <v>Pied à coulisse</v>
          </cell>
          <cell r="C126" t="str">
            <v>Caliper</v>
          </cell>
          <cell r="D126" t="str">
            <v>Suwmiarka</v>
          </cell>
          <cell r="E126" t="str">
            <v>Subler</v>
          </cell>
          <cell r="F126" t="str">
            <v>Pie de rey</v>
          </cell>
          <cell r="G126" t="str">
            <v>Paquimetro</v>
          </cell>
          <cell r="H126" t="str">
            <v>Tolómérő</v>
          </cell>
          <cell r="I126" t="str">
            <v>Posuvné meradlo</v>
          </cell>
          <cell r="J126" t="str">
            <v xml:space="preserve"> </v>
          </cell>
        </row>
        <row r="127">
          <cell r="A127">
            <v>126</v>
          </cell>
          <cell r="B127" t="str">
            <v>Calibre</v>
          </cell>
          <cell r="C127" t="str">
            <v>Gage</v>
          </cell>
          <cell r="D127" t="str">
            <v>Kaliber</v>
          </cell>
          <cell r="E127" t="str">
            <v>Calibru</v>
          </cell>
          <cell r="F127" t="str">
            <v>Calibrador</v>
          </cell>
          <cell r="G127" t="str">
            <v>Calibre</v>
          </cell>
          <cell r="H127" t="str">
            <v xml:space="preserve"> --&gt; hungarian ?</v>
          </cell>
          <cell r="I127" t="str">
            <v>kaliber</v>
          </cell>
          <cell r="J127" t="str">
            <v xml:space="preserve"> </v>
          </cell>
        </row>
        <row r="128">
          <cell r="A128">
            <v>127</v>
          </cell>
          <cell r="B128" t="str">
            <v>Temperature</v>
          </cell>
          <cell r="C128" t="str">
            <v>Temperature</v>
          </cell>
          <cell r="D128" t="str">
            <v>Temperatura</v>
          </cell>
          <cell r="E128" t="str">
            <v>Temperatura</v>
          </cell>
          <cell r="F128" t="str">
            <v>Temperatura</v>
          </cell>
          <cell r="G128" t="str">
            <v>Temperatura</v>
          </cell>
          <cell r="H128" t="str">
            <v>Hõmérséklet</v>
          </cell>
          <cell r="I128" t="str">
            <v>Temperatúra</v>
          </cell>
          <cell r="J128" t="str">
            <v xml:space="preserve"> </v>
          </cell>
        </row>
        <row r="129">
          <cell r="A129">
            <v>128</v>
          </cell>
          <cell r="B129" t="str">
            <v>Déformation</v>
          </cell>
          <cell r="C129" t="str">
            <v>Warpage</v>
          </cell>
          <cell r="D129" t="str">
            <v>Deformacja</v>
          </cell>
          <cell r="E129" t="str">
            <v>deformare</v>
          </cell>
          <cell r="F129" t="str">
            <v>Deformación</v>
          </cell>
          <cell r="G129" t="str">
            <v>Deformação</v>
          </cell>
          <cell r="H129" t="str">
            <v xml:space="preserve"> --&gt; hungarian ?</v>
          </cell>
          <cell r="I129" t="str">
            <v>Deformàcia</v>
          </cell>
          <cell r="J129" t="str">
            <v xml:space="preserve"> </v>
          </cell>
        </row>
        <row r="130">
          <cell r="A130">
            <v>129</v>
          </cell>
          <cell r="B130" t="str">
            <v>Forme</v>
          </cell>
          <cell r="C130" t="str">
            <v>Shape</v>
          </cell>
          <cell r="D130" t="str">
            <v>Forma</v>
          </cell>
          <cell r="E130" t="str">
            <v>Forma</v>
          </cell>
          <cell r="F130" t="str">
            <v>Forma</v>
          </cell>
          <cell r="G130" t="str">
            <v>Forma</v>
          </cell>
          <cell r="H130" t="str">
            <v xml:space="preserve"> --&gt; hungarian ?</v>
          </cell>
          <cell r="I130" t="str">
            <v>tvar</v>
          </cell>
          <cell r="J130" t="str">
            <v xml:space="preserve"> </v>
          </cell>
        </row>
        <row r="131">
          <cell r="A131">
            <v>130</v>
          </cell>
          <cell r="B131" t="str">
            <v>Brillance</v>
          </cell>
          <cell r="C131" t="str">
            <v>Gloss</v>
          </cell>
          <cell r="D131" t="str">
            <v>Połysk</v>
          </cell>
          <cell r="E131" t="str">
            <v>Luciu</v>
          </cell>
          <cell r="F131" t="str">
            <v>Brillantez</v>
          </cell>
          <cell r="G131" t="str">
            <v>Brilho</v>
          </cell>
          <cell r="H131" t="str">
            <v xml:space="preserve"> --&gt; hungarian ?</v>
          </cell>
          <cell r="I131" t="str">
            <v>lesk</v>
          </cell>
          <cell r="J131" t="str">
            <v xml:space="preserve"> </v>
          </cell>
        </row>
        <row r="132">
          <cell r="A132">
            <v>131</v>
          </cell>
          <cell r="B132" t="str">
            <v>Bars</v>
          </cell>
          <cell r="C132" t="str">
            <v>Bars</v>
          </cell>
          <cell r="D132" t="str">
            <v>Bar</v>
          </cell>
          <cell r="E132" t="str">
            <v>Bar</v>
          </cell>
          <cell r="F132" t="str">
            <v>Bars</v>
          </cell>
          <cell r="G132" t="str">
            <v>Bar</v>
          </cell>
          <cell r="H132" t="str">
            <v>Bar</v>
          </cell>
          <cell r="I132" t="str">
            <v>Bars</v>
          </cell>
          <cell r="J132" t="str">
            <v xml:space="preserve"> </v>
          </cell>
        </row>
        <row r="133">
          <cell r="A133">
            <v>132</v>
          </cell>
          <cell r="B133" t="str">
            <v>N° machine</v>
          </cell>
          <cell r="C133" t="str">
            <v>Machine nb</v>
          </cell>
          <cell r="D133" t="str">
            <v>Maszyna n°</v>
          </cell>
          <cell r="E133" t="str">
            <v>nr. masina</v>
          </cell>
          <cell r="F133" t="str">
            <v>N° máquina</v>
          </cell>
          <cell r="G133" t="str">
            <v>Máquina nº</v>
          </cell>
          <cell r="H133" t="str">
            <v>Gépszám</v>
          </cell>
          <cell r="I133" t="str">
            <v>Č. Stroj</v>
          </cell>
          <cell r="J133" t="str">
            <v xml:space="preserve"> </v>
          </cell>
        </row>
        <row r="134">
          <cell r="A134">
            <v>133</v>
          </cell>
          <cell r="B134" t="str">
            <v>Vissage</v>
          </cell>
          <cell r="C134" t="str">
            <v>Screwing</v>
          </cell>
          <cell r="D134" t="str">
            <v>Wkręcenie</v>
          </cell>
          <cell r="E134" t="str">
            <v>Insurubare</v>
          </cell>
          <cell r="F134" t="str">
            <v>Atornillamiento</v>
          </cell>
          <cell r="G134" t="str">
            <v>Aparafusar</v>
          </cell>
          <cell r="H134" t="str">
            <v>csavarozas</v>
          </cell>
          <cell r="I134" t="str">
            <v>Priskrutkovanie</v>
          </cell>
          <cell r="J134" t="str">
            <v xml:space="preserve"> </v>
          </cell>
        </row>
        <row r="135">
          <cell r="A135">
            <v>134</v>
          </cell>
          <cell r="B135" t="str">
            <v>Assemblage</v>
          </cell>
          <cell r="C135" t="str">
            <v>Assembly</v>
          </cell>
          <cell r="D135" t="str">
            <v>Montaż</v>
          </cell>
          <cell r="E135" t="str">
            <v>Asamblare</v>
          </cell>
          <cell r="F135" t="str">
            <v>Reunión</v>
          </cell>
          <cell r="G135" t="str">
            <v>Montagem</v>
          </cell>
          <cell r="H135" t="str">
            <v>Szerelõ</v>
          </cell>
          <cell r="I135" t="str">
            <v>Montáž</v>
          </cell>
          <cell r="J135" t="str">
            <v xml:space="preserve"> </v>
          </cell>
        </row>
        <row r="136">
          <cell r="A136">
            <v>135</v>
          </cell>
          <cell r="B136" t="str">
            <v>Référence pièce finie</v>
          </cell>
          <cell r="C136" t="str">
            <v>Finished part reference</v>
          </cell>
          <cell r="D136" t="str">
            <v>Referencja wyrobu gotowego</v>
          </cell>
          <cell r="E136" t="str">
            <v>Referinta produsului finit</v>
          </cell>
          <cell r="F136" t="str">
            <v>Refer. pieza acabado</v>
          </cell>
          <cell r="G136" t="str">
            <v>Referência peça acabada</v>
          </cell>
          <cell r="H136" t="str">
            <v>Készáru azonosító</v>
          </cell>
          <cell r="I136" t="str">
            <v>referencia kusa finálneho</v>
          </cell>
          <cell r="J136" t="str">
            <v xml:space="preserve"> </v>
          </cell>
        </row>
        <row r="137">
          <cell r="A137">
            <v>136</v>
          </cell>
          <cell r="B137" t="str">
            <v>Réglage machine</v>
          </cell>
          <cell r="C137" t="str">
            <v>Machine settings</v>
          </cell>
          <cell r="D137" t="str">
            <v>Ustawienia maszyny</v>
          </cell>
          <cell r="E137" t="str">
            <v>Reglaj masina</v>
          </cell>
          <cell r="F137" t="str">
            <v>Reglaje máquina</v>
          </cell>
          <cell r="G137" t="str">
            <v>Afinação de máquina</v>
          </cell>
          <cell r="H137" t="str">
            <v xml:space="preserve"> --&gt; hungarian ?</v>
          </cell>
          <cell r="I137" t="str">
            <v>nastavenie stroja</v>
          </cell>
          <cell r="J137" t="str">
            <v xml:space="preserve"> </v>
          </cell>
        </row>
        <row r="138">
          <cell r="A138">
            <v>137</v>
          </cell>
          <cell r="B138" t="str">
            <v>Balance</v>
          </cell>
          <cell r="C138" t="str">
            <v>Scale</v>
          </cell>
          <cell r="D138" t="str">
            <v>Waga</v>
          </cell>
          <cell r="E138" t="str">
            <v>Balanţă</v>
          </cell>
          <cell r="F138" t="str">
            <v>Balanza</v>
          </cell>
          <cell r="G138" t="str">
            <v>Balança</v>
          </cell>
          <cell r="H138" t="str">
            <v>Mérlegek</v>
          </cell>
          <cell r="I138" t="str">
            <v>Váha</v>
          </cell>
          <cell r="J138" t="str">
            <v xml:space="preserve"> </v>
          </cell>
        </row>
        <row r="139">
          <cell r="A139">
            <v>138</v>
          </cell>
          <cell r="B139" t="str">
            <v>Défaut d'aspect</v>
          </cell>
          <cell r="C139" t="str">
            <v>Aesthical defect</v>
          </cell>
          <cell r="D139" t="str">
            <v>Defekt estetyczny</v>
          </cell>
          <cell r="E139" t="str">
            <v>defect de aspect</v>
          </cell>
          <cell r="F139" t="str">
            <v>Defecto en aspecto</v>
          </cell>
          <cell r="G139" t="str">
            <v>Defeito de Aparência</v>
          </cell>
          <cell r="H139" t="str">
            <v xml:space="preserve"> --&gt; hungarian ?</v>
          </cell>
          <cell r="I139" t="str">
            <v>defektov aspekt</v>
          </cell>
          <cell r="J139" t="str">
            <v xml:space="preserve"> </v>
          </cell>
        </row>
        <row r="140">
          <cell r="A140">
            <v>139</v>
          </cell>
          <cell r="B140" t="str">
            <v>Givrage</v>
          </cell>
          <cell r="C140" t="str">
            <v>Splash</v>
          </cell>
          <cell r="D140" t="str">
            <v>Odprysk</v>
          </cell>
          <cell r="E140" t="str">
            <v>arsura</v>
          </cell>
          <cell r="F140" t="str">
            <v>Rafagas</v>
          </cell>
          <cell r="G140" t="str">
            <v>Raiados</v>
          </cell>
          <cell r="H140" t="str">
            <v xml:space="preserve"> --&gt; hungarian ?</v>
          </cell>
          <cell r="I140" t="str">
            <v>spálenina</v>
          </cell>
          <cell r="J140" t="str">
            <v xml:space="preserve"> </v>
          </cell>
        </row>
        <row r="141">
          <cell r="A141">
            <v>140</v>
          </cell>
          <cell r="B141" t="str">
            <v>Infondu</v>
          </cell>
          <cell r="C141" t="str">
            <v>Pitting</v>
          </cell>
          <cell r="D141" t="str">
            <v>Niestopiony materiał</v>
          </cell>
          <cell r="E141" t="str">
            <v>netopit</v>
          </cell>
          <cell r="F141" t="str">
            <v>Incompleto</v>
          </cell>
          <cell r="G141" t="str">
            <v>Ponta Fria</v>
          </cell>
          <cell r="H141" t="str">
            <v>idegen anyag</v>
          </cell>
          <cell r="I141" t="str">
            <v>neroztavený ?</v>
          </cell>
          <cell r="J141" t="str">
            <v xml:space="preserve"> </v>
          </cell>
        </row>
        <row r="142">
          <cell r="A142">
            <v>141</v>
          </cell>
          <cell r="B142" t="str">
            <v>Ligne de recollement</v>
          </cell>
          <cell r="C142" t="str">
            <v>Welding line</v>
          </cell>
          <cell r="D142" t="str">
            <v>Linia łaczenia</v>
          </cell>
          <cell r="E142" t="str">
            <v>linie de sudura</v>
          </cell>
          <cell r="F142" t="str">
            <v>Lina de unión</v>
          </cell>
          <cell r="G142" t="str">
            <v>Linha de soldadura</v>
          </cell>
          <cell r="H142" t="str">
            <v>osszecsapasnyom</v>
          </cell>
          <cell r="I142" t="str">
            <v>čiara spájania-lepenia</v>
          </cell>
          <cell r="J142" t="str">
            <v xml:space="preserve"> </v>
          </cell>
        </row>
        <row r="143">
          <cell r="A143">
            <v>142</v>
          </cell>
          <cell r="B143" t="str">
            <v>Poussière</v>
          </cell>
          <cell r="C143" t="str">
            <v>Dirt</v>
          </cell>
          <cell r="D143" t="str">
            <v>Nieczystość</v>
          </cell>
          <cell r="E143" t="str">
            <v>praf</v>
          </cell>
          <cell r="F143" t="str">
            <v>Polvo</v>
          </cell>
          <cell r="G143" t="str">
            <v>Poeira</v>
          </cell>
          <cell r="H143" t="str">
            <v>szennyezodes</v>
          </cell>
          <cell r="I143" t="str">
            <v>prach-špina</v>
          </cell>
          <cell r="J143" t="str">
            <v xml:space="preserve"> </v>
          </cell>
        </row>
        <row r="144">
          <cell r="A144">
            <v>143</v>
          </cell>
          <cell r="B144" t="str">
            <v>Retassure</v>
          </cell>
          <cell r="C144" t="str">
            <v>Sink mark</v>
          </cell>
          <cell r="D144" t="str">
            <v>Wciag</v>
          </cell>
          <cell r="E144" t="str">
            <v>retasura</v>
          </cell>
          <cell r="F144" t="str">
            <v>Rechupe</v>
          </cell>
          <cell r="G144" t="str">
            <v>Chupado</v>
          </cell>
          <cell r="H144" t="str">
            <v>beszivodas</v>
          </cell>
          <cell r="I144" t="str">
            <v>Vťaženina</v>
          </cell>
          <cell r="J144" t="str">
            <v xml:space="preserve"> </v>
          </cell>
        </row>
        <row r="145">
          <cell r="A145">
            <v>144</v>
          </cell>
          <cell r="B145" t="str">
            <v>Bavure</v>
          </cell>
          <cell r="C145" t="str">
            <v>Burr</v>
          </cell>
          <cell r="D145" t="str">
            <v>Nadlew</v>
          </cell>
          <cell r="E145" t="str">
            <v>Bavura</v>
          </cell>
          <cell r="F145" t="str">
            <v>Rebaba</v>
          </cell>
          <cell r="G145" t="str">
            <v>Rebarba</v>
          </cell>
          <cell r="H145" t="str">
            <v xml:space="preserve"> --&gt; hungarian ?</v>
          </cell>
          <cell r="I145" t="str">
            <v>Otrepy</v>
          </cell>
          <cell r="J145" t="str">
            <v xml:space="preserve"> </v>
          </cell>
        </row>
        <row r="146">
          <cell r="A146">
            <v>145</v>
          </cell>
          <cell r="B146" t="str">
            <v>Manque matière</v>
          </cell>
          <cell r="C146" t="str">
            <v>Short shot</v>
          </cell>
          <cell r="D146" t="str">
            <v>Niedolew</v>
          </cell>
          <cell r="E146" t="str">
            <v>lipsa material</v>
          </cell>
          <cell r="F146" t="str">
            <v>Falta de material</v>
          </cell>
          <cell r="G146" t="str">
            <v>Falta de material</v>
          </cell>
          <cell r="H146" t="str">
            <v xml:space="preserve"> --&gt; hungarian ?</v>
          </cell>
          <cell r="I146" t="str">
            <v>nedolisovaný-chýba materiál</v>
          </cell>
          <cell r="J146" t="str">
            <v xml:space="preserve"> </v>
          </cell>
        </row>
        <row r="147">
          <cell r="A147">
            <v>146</v>
          </cell>
          <cell r="B147" t="str">
            <v>Couleur</v>
          </cell>
          <cell r="C147" t="str">
            <v>Color</v>
          </cell>
          <cell r="D147" t="str">
            <v>Kolor</v>
          </cell>
          <cell r="E147" t="str">
            <v>Culoare</v>
          </cell>
          <cell r="F147" t="str">
            <v>Color</v>
          </cell>
          <cell r="G147" t="str">
            <v>Cor</v>
          </cell>
          <cell r="H147" t="str">
            <v>szin</v>
          </cell>
          <cell r="I147" t="str">
            <v>Farba</v>
          </cell>
          <cell r="J147" t="str">
            <v xml:space="preserve"> </v>
          </cell>
        </row>
        <row r="148">
          <cell r="A148">
            <v>147</v>
          </cell>
          <cell r="B148" t="str">
            <v>Mesure</v>
          </cell>
          <cell r="C148" t="str">
            <v>Measure</v>
          </cell>
          <cell r="D148" t="str">
            <v>Mierzenie</v>
          </cell>
          <cell r="E148" t="str">
            <v>Masurare</v>
          </cell>
          <cell r="F148" t="str">
            <v>Medida</v>
          </cell>
          <cell r="G148" t="str">
            <v>Medida</v>
          </cell>
          <cell r="H148" t="str">
            <v>Mérési</v>
          </cell>
          <cell r="I148" t="str">
            <v>Meranie</v>
          </cell>
          <cell r="J148" t="str">
            <v xml:space="preserve"> </v>
          </cell>
        </row>
        <row r="149">
          <cell r="A149">
            <v>148</v>
          </cell>
          <cell r="B149" t="str">
            <v>Réglementation / sécurité</v>
          </cell>
          <cell r="C149" t="str">
            <v>Regulation / safety</v>
          </cell>
          <cell r="D149" t="str">
            <v>Regulacje prawne / bezpieczenstwo</v>
          </cell>
          <cell r="E149" t="str">
            <v>Reglementare / Siguranta</v>
          </cell>
          <cell r="F149" t="str">
            <v>Reglamentación / seguridad</v>
          </cell>
          <cell r="G149" t="str">
            <v>Regulamentação de Segurança</v>
          </cell>
          <cell r="H149" t="str">
            <v>Rendelet / Biztonságí</v>
          </cell>
          <cell r="I149" t="str">
            <v>predpisy / ochrana</v>
          </cell>
          <cell r="J149" t="str">
            <v xml:space="preserve"> </v>
          </cell>
        </row>
        <row r="150">
          <cell r="A150">
            <v>149</v>
          </cell>
          <cell r="B150" t="str">
            <v>Réglementation</v>
          </cell>
          <cell r="C150" t="str">
            <v>Regulation</v>
          </cell>
          <cell r="D150" t="str">
            <v xml:space="preserve">Regulacje prawne </v>
          </cell>
          <cell r="E150" t="str">
            <v>Reglementare</v>
          </cell>
          <cell r="F150" t="str">
            <v>Reglamentación</v>
          </cell>
          <cell r="G150" t="str">
            <v xml:space="preserve">Regulamentação </v>
          </cell>
          <cell r="H150" t="str">
            <v>Rendelet</v>
          </cell>
          <cell r="I150" t="str">
            <v>predpisy</v>
          </cell>
          <cell r="J150" t="str">
            <v xml:space="preserve"> </v>
          </cell>
        </row>
        <row r="151">
          <cell r="A151">
            <v>150</v>
          </cell>
          <cell r="B151" t="str">
            <v>Sécurité</v>
          </cell>
          <cell r="C151" t="str">
            <v>Safety</v>
          </cell>
          <cell r="D151" t="str">
            <v>Bezpieczeństwo</v>
          </cell>
          <cell r="E151" t="str">
            <v>Siguranta</v>
          </cell>
          <cell r="F151" t="str">
            <v>Seguridad</v>
          </cell>
          <cell r="G151" t="str">
            <v>Segurança</v>
          </cell>
          <cell r="H151" t="str">
            <v>Biztonságí</v>
          </cell>
          <cell r="I151" t="str">
            <v>bezpečnosť</v>
          </cell>
          <cell r="J151" t="str">
            <v xml:space="preserve"> </v>
          </cell>
        </row>
        <row r="152">
          <cell r="A152">
            <v>151</v>
          </cell>
          <cell r="B152" t="str">
            <v>Temps</v>
          </cell>
          <cell r="C152" t="str">
            <v>Time</v>
          </cell>
          <cell r="D152" t="str">
            <v>Czas</v>
          </cell>
          <cell r="E152" t="str">
            <v>Timp</v>
          </cell>
          <cell r="F152" t="str">
            <v>Tiempo</v>
          </cell>
          <cell r="G152" t="str">
            <v>Tempo</v>
          </cell>
          <cell r="H152" t="str">
            <v>Idó</v>
          </cell>
          <cell r="I152" t="str">
            <v>Čas</v>
          </cell>
          <cell r="J152" t="str">
            <v xml:space="preserve"> </v>
          </cell>
        </row>
        <row r="153">
          <cell r="A153">
            <v>152</v>
          </cell>
          <cell r="B153" t="str">
            <v>Année</v>
          </cell>
          <cell r="C153" t="str">
            <v>Year</v>
          </cell>
          <cell r="D153" t="str">
            <v>Rok</v>
          </cell>
          <cell r="E153" t="str">
            <v>Anul</v>
          </cell>
          <cell r="F153" t="str">
            <v>Año</v>
          </cell>
          <cell r="G153" t="str">
            <v>Ano</v>
          </cell>
          <cell r="H153" t="str">
            <v>Év</v>
          </cell>
          <cell r="I153" t="str">
            <v>Rok</v>
          </cell>
          <cell r="J153" t="str">
            <v xml:space="preserve"> </v>
          </cell>
        </row>
        <row r="154">
          <cell r="A154">
            <v>153</v>
          </cell>
          <cell r="B154" t="str">
            <v>Mois</v>
          </cell>
          <cell r="C154" t="str">
            <v>Month</v>
          </cell>
          <cell r="D154" t="str">
            <v>Miesiąc</v>
          </cell>
          <cell r="E154" t="str">
            <v>Luna</v>
          </cell>
          <cell r="F154" t="str">
            <v>Mes</v>
          </cell>
          <cell r="G154" t="str">
            <v>Mês</v>
          </cell>
          <cell r="H154" t="str">
            <v>Hónap</v>
          </cell>
          <cell r="I154" t="str">
            <v>Mesiac</v>
          </cell>
          <cell r="J154" t="str">
            <v xml:space="preserve"> </v>
          </cell>
        </row>
        <row r="155">
          <cell r="A155">
            <v>154</v>
          </cell>
          <cell r="B155" t="str">
            <v>Semaine</v>
          </cell>
          <cell r="C155" t="str">
            <v>Week</v>
          </cell>
          <cell r="D155" t="str">
            <v>Tygodnia</v>
          </cell>
          <cell r="E155" t="str">
            <v>Saptamana</v>
          </cell>
          <cell r="F155" t="str">
            <v>Semana</v>
          </cell>
          <cell r="G155" t="str">
            <v>Semana</v>
          </cell>
          <cell r="H155" t="str">
            <v>Hét</v>
          </cell>
          <cell r="I155" t="str">
            <v>Týždeň</v>
          </cell>
          <cell r="J155" t="str">
            <v xml:space="preserve"> </v>
          </cell>
        </row>
        <row r="156">
          <cell r="A156">
            <v>155</v>
          </cell>
          <cell r="B156" t="str">
            <v>Semestre</v>
          </cell>
          <cell r="C156" t="str">
            <v>Half-year</v>
          </cell>
          <cell r="D156" t="str">
            <v>Semestr</v>
          </cell>
          <cell r="E156" t="str">
            <v>Jumatate</v>
          </cell>
          <cell r="F156" t="str">
            <v>Semestre</v>
          </cell>
          <cell r="G156" t="str">
            <v>Semestre</v>
          </cell>
          <cell r="H156" t="str">
            <v xml:space="preserve"> --&gt; hungarian ?</v>
          </cell>
          <cell r="I156" t="str">
            <v>Semester</v>
          </cell>
          <cell r="J156" t="str">
            <v xml:space="preserve"> </v>
          </cell>
        </row>
        <row r="157">
          <cell r="A157">
            <v>156</v>
          </cell>
          <cell r="B157" t="str">
            <v>Trimestre</v>
          </cell>
          <cell r="C157" t="str">
            <v>Quarter</v>
          </cell>
          <cell r="D157" t="str">
            <v>Kwartał</v>
          </cell>
          <cell r="E157" t="str">
            <v>Sferturi</v>
          </cell>
          <cell r="F157" t="str">
            <v>Trimestre</v>
          </cell>
          <cell r="G157" t="str">
            <v>Trimestre</v>
          </cell>
          <cell r="H157" t="str">
            <v xml:space="preserve"> --&gt; hungarian ?</v>
          </cell>
          <cell r="I157" t="str">
            <v>Štvrťrok</v>
          </cell>
          <cell r="J157" t="str">
            <v xml:space="preserve"> </v>
          </cell>
        </row>
        <row r="158">
          <cell r="A158">
            <v>157</v>
          </cell>
          <cell r="B158" t="str">
            <v>Janvier</v>
          </cell>
          <cell r="C158" t="str">
            <v>January</v>
          </cell>
          <cell r="D158" t="str">
            <v>Styczeń</v>
          </cell>
          <cell r="E158" t="str">
            <v>Ianuarie</v>
          </cell>
          <cell r="F158" t="str">
            <v>Enero</v>
          </cell>
          <cell r="G158" t="str">
            <v>Janeiro</v>
          </cell>
          <cell r="H158" t="str">
            <v>Január</v>
          </cell>
          <cell r="I158" t="str">
            <v>Január</v>
          </cell>
          <cell r="J158" t="str">
            <v xml:space="preserve"> </v>
          </cell>
        </row>
        <row r="159">
          <cell r="A159">
            <v>158</v>
          </cell>
          <cell r="B159" t="str">
            <v>Février</v>
          </cell>
          <cell r="C159" t="str">
            <v>February</v>
          </cell>
          <cell r="D159" t="str">
            <v>Luty</v>
          </cell>
          <cell r="E159" t="str">
            <v>Februarie</v>
          </cell>
          <cell r="F159" t="str">
            <v>Febrero</v>
          </cell>
          <cell r="G159" t="str">
            <v>Fevereiro</v>
          </cell>
          <cell r="H159" t="str">
            <v>Február</v>
          </cell>
          <cell r="I159" t="str">
            <v>Február</v>
          </cell>
          <cell r="J159" t="str">
            <v xml:space="preserve"> </v>
          </cell>
        </row>
        <row r="160">
          <cell r="A160">
            <v>159</v>
          </cell>
          <cell r="B160" t="str">
            <v>Mars</v>
          </cell>
          <cell r="C160" t="str">
            <v>March</v>
          </cell>
          <cell r="D160" t="str">
            <v>Marzec</v>
          </cell>
          <cell r="E160" t="str">
            <v>Martie</v>
          </cell>
          <cell r="F160" t="str">
            <v>Marzo</v>
          </cell>
          <cell r="G160" t="str">
            <v>Março</v>
          </cell>
          <cell r="H160" t="str">
            <v xml:space="preserve"> --&gt; hungarian ?</v>
          </cell>
          <cell r="I160" t="str">
            <v>Marec</v>
          </cell>
          <cell r="J160" t="str">
            <v xml:space="preserve"> </v>
          </cell>
        </row>
        <row r="161">
          <cell r="A161">
            <v>160</v>
          </cell>
          <cell r="B161" t="str">
            <v>Avril</v>
          </cell>
          <cell r="C161" t="str">
            <v>April</v>
          </cell>
          <cell r="D161" t="str">
            <v>Kwiecień</v>
          </cell>
          <cell r="E161" t="str">
            <v>Aprilie</v>
          </cell>
          <cell r="F161" t="str">
            <v>Abril</v>
          </cell>
          <cell r="G161" t="str">
            <v>Avril</v>
          </cell>
          <cell r="H161" t="str">
            <v>Április</v>
          </cell>
          <cell r="I161" t="str">
            <v>Apríl</v>
          </cell>
          <cell r="J161" t="str">
            <v xml:space="preserve"> </v>
          </cell>
        </row>
        <row r="162">
          <cell r="A162">
            <v>161</v>
          </cell>
          <cell r="B162" t="str">
            <v>Mai</v>
          </cell>
          <cell r="C162" t="str">
            <v>May</v>
          </cell>
          <cell r="D162" t="str">
            <v>Maj</v>
          </cell>
          <cell r="E162" t="str">
            <v>Mai</v>
          </cell>
          <cell r="F162" t="str">
            <v>Mayo</v>
          </cell>
          <cell r="G162" t="str">
            <v>Maio</v>
          </cell>
          <cell r="H162" t="str">
            <v xml:space="preserve"> --&gt; hungarian ?</v>
          </cell>
          <cell r="I162" t="str">
            <v>Máj</v>
          </cell>
          <cell r="J162" t="str">
            <v xml:space="preserve"> </v>
          </cell>
        </row>
        <row r="163">
          <cell r="A163">
            <v>162</v>
          </cell>
          <cell r="B163" t="str">
            <v>Juin</v>
          </cell>
          <cell r="C163" t="str">
            <v>June</v>
          </cell>
          <cell r="D163" t="str">
            <v>Czerwiec</v>
          </cell>
          <cell r="E163" t="str">
            <v>Iunie</v>
          </cell>
          <cell r="F163" t="str">
            <v>Junio</v>
          </cell>
          <cell r="G163" t="str">
            <v>Junho</v>
          </cell>
          <cell r="H163" t="str">
            <v>Június</v>
          </cell>
          <cell r="I163" t="str">
            <v>Jún</v>
          </cell>
          <cell r="J163" t="str">
            <v xml:space="preserve"> </v>
          </cell>
        </row>
        <row r="164">
          <cell r="A164">
            <v>163</v>
          </cell>
          <cell r="B164" t="str">
            <v>Juillet</v>
          </cell>
          <cell r="C164" t="str">
            <v>July</v>
          </cell>
          <cell r="D164" t="str">
            <v>Lipiec</v>
          </cell>
          <cell r="E164" t="str">
            <v>Iulie</v>
          </cell>
          <cell r="F164" t="str">
            <v>Julio</v>
          </cell>
          <cell r="G164" t="str">
            <v>Julho</v>
          </cell>
          <cell r="H164" t="str">
            <v>Július</v>
          </cell>
          <cell r="I164" t="str">
            <v>Júl</v>
          </cell>
          <cell r="J164" t="str">
            <v xml:space="preserve"> </v>
          </cell>
        </row>
        <row r="165">
          <cell r="A165">
            <v>164</v>
          </cell>
          <cell r="B165" t="str">
            <v>Août</v>
          </cell>
          <cell r="C165" t="str">
            <v>August</v>
          </cell>
          <cell r="D165" t="str">
            <v>Sierpień</v>
          </cell>
          <cell r="E165" t="str">
            <v>August</v>
          </cell>
          <cell r="F165" t="str">
            <v>Agosto</v>
          </cell>
          <cell r="G165" t="str">
            <v>Agosto</v>
          </cell>
          <cell r="H165" t="str">
            <v>Augusztus</v>
          </cell>
          <cell r="I165" t="str">
            <v>August</v>
          </cell>
          <cell r="J165" t="str">
            <v xml:space="preserve"> </v>
          </cell>
        </row>
        <row r="166">
          <cell r="A166">
            <v>165</v>
          </cell>
          <cell r="B166" t="str">
            <v>Septembre</v>
          </cell>
          <cell r="C166" t="str">
            <v>September</v>
          </cell>
          <cell r="D166" t="str">
            <v>Wrzesień</v>
          </cell>
          <cell r="E166" t="str">
            <v>Septembrie</v>
          </cell>
          <cell r="F166" t="str">
            <v>Setiembre</v>
          </cell>
          <cell r="G166" t="str">
            <v>Setembro</v>
          </cell>
          <cell r="H166" t="str">
            <v>Szeptember</v>
          </cell>
          <cell r="I166" t="str">
            <v>September</v>
          </cell>
          <cell r="J166" t="str">
            <v xml:space="preserve"> </v>
          </cell>
        </row>
        <row r="167">
          <cell r="A167">
            <v>166</v>
          </cell>
          <cell r="B167" t="str">
            <v>Octobre</v>
          </cell>
          <cell r="C167" t="str">
            <v>October</v>
          </cell>
          <cell r="D167" t="str">
            <v>Październik</v>
          </cell>
          <cell r="E167" t="str">
            <v>Octombrie</v>
          </cell>
          <cell r="F167" t="str">
            <v>Octubre</v>
          </cell>
          <cell r="G167" t="str">
            <v>Outubro</v>
          </cell>
          <cell r="H167" t="str">
            <v>Október</v>
          </cell>
          <cell r="I167" t="str">
            <v>Október</v>
          </cell>
          <cell r="J167" t="str">
            <v xml:space="preserve"> </v>
          </cell>
        </row>
        <row r="168">
          <cell r="A168">
            <v>167</v>
          </cell>
          <cell r="B168" t="str">
            <v>Novembre</v>
          </cell>
          <cell r="C168" t="str">
            <v>November</v>
          </cell>
          <cell r="D168" t="str">
            <v>Listopad</v>
          </cell>
          <cell r="E168" t="str">
            <v>Noiembre</v>
          </cell>
          <cell r="F168" t="str">
            <v>Noviembre</v>
          </cell>
          <cell r="G168" t="str">
            <v>Novembro</v>
          </cell>
          <cell r="H168" t="str">
            <v>November</v>
          </cell>
          <cell r="I168" t="str">
            <v>November</v>
          </cell>
          <cell r="J168" t="str">
            <v xml:space="preserve"> </v>
          </cell>
        </row>
        <row r="169">
          <cell r="A169">
            <v>168</v>
          </cell>
          <cell r="B169" t="str">
            <v>Décembre</v>
          </cell>
          <cell r="C169" t="str">
            <v>December</v>
          </cell>
          <cell r="D169" t="str">
            <v>Grudzień</v>
          </cell>
          <cell r="E169" t="str">
            <v>Decembrie</v>
          </cell>
          <cell r="F169" t="str">
            <v>Diciembre</v>
          </cell>
          <cell r="G169" t="str">
            <v>Dezembro</v>
          </cell>
          <cell r="H169" t="str">
            <v>December</v>
          </cell>
          <cell r="I169" t="str">
            <v>December</v>
          </cell>
          <cell r="J169" t="str">
            <v xml:space="preserve"> </v>
          </cell>
        </row>
        <row r="170">
          <cell r="A170">
            <v>169</v>
          </cell>
          <cell r="B170" t="str">
            <v>Lundi</v>
          </cell>
          <cell r="C170" t="str">
            <v>Monday</v>
          </cell>
          <cell r="D170" t="str">
            <v>Poniedziałek</v>
          </cell>
          <cell r="E170" t="str">
            <v>Luni</v>
          </cell>
          <cell r="F170" t="str">
            <v>Lunes</v>
          </cell>
          <cell r="G170" t="str">
            <v>Segunda</v>
          </cell>
          <cell r="H170" t="str">
            <v>Hétfő</v>
          </cell>
          <cell r="I170" t="str">
            <v>Pondelok</v>
          </cell>
          <cell r="J170" t="str">
            <v xml:space="preserve"> </v>
          </cell>
        </row>
        <row r="171">
          <cell r="A171">
            <v>170</v>
          </cell>
          <cell r="B171" t="str">
            <v>Mardi</v>
          </cell>
          <cell r="C171" t="str">
            <v>Tuesday</v>
          </cell>
          <cell r="D171" t="str">
            <v>Wtorek</v>
          </cell>
          <cell r="E171" t="str">
            <v>Marti</v>
          </cell>
          <cell r="F171" t="str">
            <v>Martes</v>
          </cell>
          <cell r="G171" t="str">
            <v>Terça</v>
          </cell>
          <cell r="H171" t="str">
            <v>Kedd</v>
          </cell>
          <cell r="I171" t="str">
            <v>Utorok</v>
          </cell>
          <cell r="J171" t="str">
            <v xml:space="preserve"> </v>
          </cell>
        </row>
        <row r="172">
          <cell r="A172">
            <v>171</v>
          </cell>
          <cell r="B172" t="str">
            <v>Mercredi</v>
          </cell>
          <cell r="C172" t="str">
            <v>Wednesday</v>
          </cell>
          <cell r="D172" t="str">
            <v>Sroda</v>
          </cell>
          <cell r="E172" t="str">
            <v>Miercuri</v>
          </cell>
          <cell r="F172" t="str">
            <v>Miércoles</v>
          </cell>
          <cell r="G172" t="str">
            <v>Quarta</v>
          </cell>
          <cell r="H172" t="str">
            <v>Szerda</v>
          </cell>
          <cell r="I172" t="str">
            <v>Streda</v>
          </cell>
          <cell r="J172" t="str">
            <v xml:space="preserve"> </v>
          </cell>
        </row>
        <row r="173">
          <cell r="A173">
            <v>172</v>
          </cell>
          <cell r="B173" t="str">
            <v>Jeudi</v>
          </cell>
          <cell r="C173" t="str">
            <v>Thursday</v>
          </cell>
          <cell r="D173" t="str">
            <v>Czwartek</v>
          </cell>
          <cell r="E173" t="str">
            <v>Joi</v>
          </cell>
          <cell r="F173" t="str">
            <v>Jueves</v>
          </cell>
          <cell r="G173" t="str">
            <v>Quinta</v>
          </cell>
          <cell r="H173" t="str">
            <v>Csütörtök</v>
          </cell>
          <cell r="I173" t="str">
            <v>Štvrtok</v>
          </cell>
          <cell r="J173" t="str">
            <v xml:space="preserve"> </v>
          </cell>
        </row>
        <row r="174">
          <cell r="A174">
            <v>173</v>
          </cell>
          <cell r="B174" t="str">
            <v>Vendredi</v>
          </cell>
          <cell r="C174" t="str">
            <v>Friday</v>
          </cell>
          <cell r="D174" t="str">
            <v>Piątek</v>
          </cell>
          <cell r="E174" t="str">
            <v>Vineri</v>
          </cell>
          <cell r="F174" t="str">
            <v>Viernes</v>
          </cell>
          <cell r="G174" t="str">
            <v>Sexta</v>
          </cell>
          <cell r="H174" t="str">
            <v>Péntek</v>
          </cell>
          <cell r="I174" t="str">
            <v>Piatok</v>
          </cell>
          <cell r="J174" t="str">
            <v xml:space="preserve"> </v>
          </cell>
        </row>
        <row r="175">
          <cell r="A175">
            <v>174</v>
          </cell>
          <cell r="B175" t="str">
            <v>Samedi</v>
          </cell>
          <cell r="C175" t="str">
            <v>Saturday</v>
          </cell>
          <cell r="D175" t="str">
            <v>Sobota</v>
          </cell>
          <cell r="E175" t="str">
            <v>Sambata</v>
          </cell>
          <cell r="F175" t="str">
            <v>Sábado</v>
          </cell>
          <cell r="G175" t="str">
            <v>Sabado</v>
          </cell>
          <cell r="H175" t="str">
            <v>Szombat</v>
          </cell>
          <cell r="I175" t="str">
            <v>Sobota</v>
          </cell>
          <cell r="J175" t="str">
            <v xml:space="preserve"> </v>
          </cell>
        </row>
        <row r="176">
          <cell r="A176">
            <v>175</v>
          </cell>
          <cell r="B176" t="str">
            <v>Dimanche</v>
          </cell>
          <cell r="C176" t="str">
            <v>Sunday</v>
          </cell>
          <cell r="D176" t="str">
            <v>Niedziela</v>
          </cell>
          <cell r="E176" t="str">
            <v>Duminica</v>
          </cell>
          <cell r="F176" t="str">
            <v>Domingo</v>
          </cell>
          <cell r="G176" t="str">
            <v>Domingo</v>
          </cell>
          <cell r="H176" t="str">
            <v>Vasárnap</v>
          </cell>
          <cell r="I176" t="str">
            <v>Nedeľa</v>
          </cell>
          <cell r="J176" t="str">
            <v xml:space="preserve"> </v>
          </cell>
        </row>
        <row r="177">
          <cell r="A177">
            <v>176</v>
          </cell>
          <cell r="B177" t="str">
            <v>Heure</v>
          </cell>
          <cell r="C177" t="str">
            <v>Hour</v>
          </cell>
          <cell r="D177" t="str">
            <v>Godzina</v>
          </cell>
          <cell r="E177" t="str">
            <v>Ora</v>
          </cell>
          <cell r="F177" t="str">
            <v>Hora</v>
          </cell>
          <cell r="G177" t="str">
            <v>Hora</v>
          </cell>
          <cell r="H177" t="str">
            <v>Óra</v>
          </cell>
          <cell r="I177" t="str">
            <v>Hodina</v>
          </cell>
          <cell r="J177" t="str">
            <v xml:space="preserve"> </v>
          </cell>
        </row>
        <row r="178">
          <cell r="A178">
            <v>177</v>
          </cell>
          <cell r="B178" t="str">
            <v>Minute</v>
          </cell>
          <cell r="C178" t="str">
            <v>Minut</v>
          </cell>
          <cell r="D178" t="str">
            <v>Minuta</v>
          </cell>
          <cell r="E178" t="str">
            <v>Minute</v>
          </cell>
          <cell r="F178" t="str">
            <v>Minuto</v>
          </cell>
          <cell r="G178" t="str">
            <v>Minuto</v>
          </cell>
          <cell r="H178" t="str">
            <v>Perc</v>
          </cell>
          <cell r="I178" t="str">
            <v>Minúta</v>
          </cell>
          <cell r="J178" t="str">
            <v xml:space="preserve"> </v>
          </cell>
        </row>
        <row r="179">
          <cell r="A179">
            <v>178</v>
          </cell>
          <cell r="B179" t="str">
            <v>Seconde</v>
          </cell>
          <cell r="C179" t="str">
            <v>Second</v>
          </cell>
          <cell r="D179" t="str">
            <v>Sekunda</v>
          </cell>
          <cell r="E179" t="str">
            <v>Secunda</v>
          </cell>
          <cell r="F179" t="str">
            <v>Segundo</v>
          </cell>
          <cell r="G179" t="str">
            <v>Segundo</v>
          </cell>
          <cell r="H179" t="str">
            <v>Második</v>
          </cell>
          <cell r="I179" t="str">
            <v>Sekunda</v>
          </cell>
          <cell r="J179" t="str">
            <v xml:space="preserve"> </v>
          </cell>
        </row>
        <row r="180">
          <cell r="A180">
            <v>179</v>
          </cell>
          <cell r="B180" t="str">
            <v>Machine 3D</v>
          </cell>
          <cell r="C180" t="str">
            <v>3D machine</v>
          </cell>
          <cell r="D180" t="str">
            <v>3D maszyna</v>
          </cell>
          <cell r="E180" t="str">
            <v>masina 3D</v>
          </cell>
          <cell r="F180" t="str">
            <v>Máquina 3D</v>
          </cell>
          <cell r="G180" t="str">
            <v>Máquina 3D</v>
          </cell>
          <cell r="H180" t="str">
            <v>háromdimenziós</v>
          </cell>
          <cell r="I180" t="str">
            <v>Stroj trojrozmerný</v>
          </cell>
          <cell r="J180" t="str">
            <v xml:space="preserve"> </v>
          </cell>
        </row>
        <row r="181">
          <cell r="A181">
            <v>180</v>
          </cell>
          <cell r="B181" t="str">
            <v>Dos Tech</v>
          </cell>
          <cell r="C181" t="str">
            <v>Tech File</v>
          </cell>
          <cell r="D181" t="str">
            <v>Dok Tech.</v>
          </cell>
          <cell r="E181" t="str">
            <v>Dosar tehnic</v>
          </cell>
          <cell r="F181" t="str">
            <v>Expediente Técnico</v>
          </cell>
          <cell r="G181" t="str">
            <v>Ficheiro Tecnico</v>
          </cell>
          <cell r="H181" t="str">
            <v>Techn. Dok.</v>
          </cell>
          <cell r="I181" t="str">
            <v>Dok Techn</v>
          </cell>
          <cell r="J181" t="str">
            <v xml:space="preserve"> </v>
          </cell>
        </row>
        <row r="182">
          <cell r="A182">
            <v>181</v>
          </cell>
          <cell r="B182" t="str">
            <v>Attention</v>
          </cell>
          <cell r="C182" t="str">
            <v>Warning</v>
          </cell>
          <cell r="D182" t="str">
            <v>Uwaga</v>
          </cell>
          <cell r="E182" t="str">
            <v>Atentie</v>
          </cell>
          <cell r="F182" t="str">
            <v>Advertencia</v>
          </cell>
          <cell r="G182" t="str">
            <v>Alerta</v>
          </cell>
          <cell r="H182" t="str">
            <v>Figyelem</v>
          </cell>
          <cell r="I182" t="str">
            <v>pozor</v>
          </cell>
          <cell r="J182" t="str">
            <v xml:space="preserve"> </v>
          </cell>
        </row>
        <row r="183">
          <cell r="A183">
            <v>182</v>
          </cell>
          <cell r="B183" t="str">
            <v>Carotte</v>
          </cell>
          <cell r="C183" t="str">
            <v>Sprue</v>
          </cell>
          <cell r="D183" t="str">
            <v>Wlewek</v>
          </cell>
          <cell r="E183" t="str">
            <v>culee</v>
          </cell>
          <cell r="F183" t="str">
            <v>Colada</v>
          </cell>
          <cell r="G183" t="str">
            <v>Gito</v>
          </cell>
          <cell r="H183" t="str">
            <v>Engusz</v>
          </cell>
          <cell r="I183" t="str">
            <v>vtok</v>
          </cell>
          <cell r="J183" t="str">
            <v xml:space="preserve"> </v>
          </cell>
        </row>
        <row r="184">
          <cell r="A184">
            <v>183</v>
          </cell>
          <cell r="B184" t="str">
            <v>Crochet</v>
          </cell>
          <cell r="C184" t="str">
            <v>Hook</v>
          </cell>
          <cell r="D184" t="str">
            <v>Zaczep</v>
          </cell>
          <cell r="E184" t="str">
            <v>carlig</v>
          </cell>
          <cell r="F184" t="str">
            <v>Gancho</v>
          </cell>
          <cell r="G184" t="str">
            <v>Pino</v>
          </cell>
          <cell r="H184" t="str">
            <v>kampo/horog</v>
          </cell>
          <cell r="I184" t="str">
            <v xml:space="preserve">hák </v>
          </cell>
          <cell r="J184" t="str">
            <v xml:space="preserve"> </v>
          </cell>
        </row>
        <row r="185">
          <cell r="A185">
            <v>184</v>
          </cell>
          <cell r="B185" t="str">
            <v>Pion</v>
          </cell>
          <cell r="C185" t="str">
            <v>Pin</v>
          </cell>
          <cell r="D185" t="str">
            <v>Szpilka</v>
          </cell>
          <cell r="E185" t="str">
            <v>pion</v>
          </cell>
          <cell r="F185" t="str">
            <v>Pin's</v>
          </cell>
          <cell r="G185" t="str">
            <v>Pino</v>
          </cell>
          <cell r="H185" t="str">
            <v>tuske</v>
          </cell>
          <cell r="I185" t="str">
            <v>pin</v>
          </cell>
          <cell r="J185" t="str">
            <v xml:space="preserve"> </v>
          </cell>
        </row>
        <row r="186">
          <cell r="A186">
            <v>185</v>
          </cell>
          <cell r="B186" t="str">
            <v>Nervure</v>
          </cell>
          <cell r="C186" t="str">
            <v>Rib</v>
          </cell>
          <cell r="D186" t="str">
            <v>Skrzydlo</v>
          </cell>
          <cell r="E186" t="str">
            <v>nervura</v>
          </cell>
          <cell r="F186" t="str">
            <v>Nervadura</v>
          </cell>
          <cell r="G186" t="str">
            <v>Rib</v>
          </cell>
          <cell r="H186" t="str">
            <v>borda</v>
          </cell>
          <cell r="I186" t="str">
            <v>rebro</v>
          </cell>
          <cell r="J186" t="str">
            <v xml:space="preserve"> </v>
          </cell>
        </row>
        <row r="187">
          <cell r="A187">
            <v>186</v>
          </cell>
          <cell r="B187" t="str">
            <v>Descriptif des zones et couleurs</v>
          </cell>
          <cell r="C187" t="str">
            <v>Areas and colors description</v>
          </cell>
          <cell r="D187" t="str">
            <v>Opis stref i kolorów</v>
          </cell>
          <cell r="E187" t="str">
            <v>Zone si descrierea culoriilor</v>
          </cell>
          <cell r="F187" t="str">
            <v>Descriptivo de zona y color</v>
          </cell>
          <cell r="G187" t="str">
            <v>Descrição das zonas e cores</v>
          </cell>
          <cell r="H187" t="str">
            <v>A területek és színek leírása</v>
          </cell>
          <cell r="I187" t="str">
            <v xml:space="preserve"> --&gt; Popis slovakian ?</v>
          </cell>
          <cell r="J187" t="str">
            <v xml:space="preserve"> </v>
          </cell>
        </row>
        <row r="188">
          <cell r="A188">
            <v>187</v>
          </cell>
          <cell r="B188" t="str">
            <v>Rouge</v>
          </cell>
          <cell r="C188" t="str">
            <v>Red</v>
          </cell>
          <cell r="D188" t="str">
            <v>Czerwony</v>
          </cell>
          <cell r="E188" t="str">
            <v>Roşu</v>
          </cell>
          <cell r="F188" t="str">
            <v>Rojo</v>
          </cell>
          <cell r="G188" t="str">
            <v>Vermelho</v>
          </cell>
          <cell r="H188" t="str">
            <v>Rőt</v>
          </cell>
          <cell r="I188" t="str">
            <v>Červený</v>
          </cell>
          <cell r="J188" t="str">
            <v xml:space="preserve"> </v>
          </cell>
        </row>
        <row r="189">
          <cell r="A189">
            <v>188</v>
          </cell>
          <cell r="B189" t="str">
            <v>Orange</v>
          </cell>
          <cell r="C189" t="str">
            <v>Orange</v>
          </cell>
          <cell r="D189" t="str">
            <v>Pomarańczowy</v>
          </cell>
          <cell r="E189" t="str">
            <v>Portocaliu</v>
          </cell>
          <cell r="F189" t="str">
            <v>Naranja</v>
          </cell>
          <cell r="G189" t="str">
            <v>Laranja</v>
          </cell>
          <cell r="H189" t="str">
            <v>Narancs</v>
          </cell>
          <cell r="I189" t="str">
            <v>Oranžová farba</v>
          </cell>
          <cell r="J189" t="str">
            <v xml:space="preserve"> </v>
          </cell>
        </row>
        <row r="190">
          <cell r="A190">
            <v>189</v>
          </cell>
          <cell r="B190" t="str">
            <v>Vert</v>
          </cell>
          <cell r="C190" t="str">
            <v>Green</v>
          </cell>
          <cell r="D190" t="str">
            <v>Zielony</v>
          </cell>
          <cell r="E190" t="str">
            <v>Verde</v>
          </cell>
          <cell r="F190" t="str">
            <v>Verde</v>
          </cell>
          <cell r="G190" t="str">
            <v>Verde</v>
          </cell>
          <cell r="H190" t="str">
            <v>Zöld</v>
          </cell>
          <cell r="I190" t="str">
            <v>Zelená</v>
          </cell>
          <cell r="J190" t="str">
            <v xml:space="preserve"> </v>
          </cell>
        </row>
        <row r="191">
          <cell r="A191">
            <v>190</v>
          </cell>
          <cell r="B191" t="str">
            <v>Blanc</v>
          </cell>
          <cell r="C191" t="str">
            <v>White</v>
          </cell>
          <cell r="D191" t="str">
            <v>Biały</v>
          </cell>
          <cell r="E191" t="str">
            <v>Albă</v>
          </cell>
          <cell r="F191" t="str">
            <v>Blanco</v>
          </cell>
          <cell r="G191" t="str">
            <v>Branco</v>
          </cell>
          <cell r="H191" t="str">
            <v>Fehér</v>
          </cell>
          <cell r="I191" t="str">
            <v>Biela farba</v>
          </cell>
          <cell r="J191" t="str">
            <v xml:space="preserve"> </v>
          </cell>
        </row>
        <row r="192">
          <cell r="A192">
            <v>191</v>
          </cell>
          <cell r="B192" t="str">
            <v>Tous défauts d'aspect acceptés</v>
          </cell>
          <cell r="C192" t="str">
            <v>All appearance defects accepted</v>
          </cell>
          <cell r="D192" t="str">
            <v>Akceptacja wszystkich wad wizualnych</v>
          </cell>
          <cell r="E192" t="str">
            <v>Toate defectele de aspect aceptate</v>
          </cell>
          <cell r="F192" t="str">
            <v>Todo defectos en aspecto aceptado</v>
          </cell>
          <cell r="G192" t="str">
            <v>Todos os defeitos de aparência aceites.</v>
          </cell>
          <cell r="H192" t="str">
            <v>Minden esztétikai hiba elfogadott</v>
          </cell>
          <cell r="I192" t="str">
            <v>všetky chyby aspektu sú akceptované</v>
          </cell>
          <cell r="J192" t="str">
            <v xml:space="preserve"> </v>
          </cell>
        </row>
        <row r="193">
          <cell r="A193">
            <v>192</v>
          </cell>
          <cell r="B193" t="str">
            <v>Conditions d'inspection</v>
          </cell>
          <cell r="C193" t="str">
            <v>Control conditions</v>
          </cell>
          <cell r="D193" t="str">
            <v>Kontrola warunków</v>
          </cell>
          <cell r="E193" t="str">
            <v>Conditii de control</v>
          </cell>
          <cell r="F193" t="str">
            <v>Condicionnes de control</v>
          </cell>
          <cell r="G193" t="str">
            <v>Condições de controlo</v>
          </cell>
          <cell r="H193" t="str">
            <v>Ellenőrzési feltételek</v>
          </cell>
          <cell r="I193" t="str">
            <v>podmienky kontroly</v>
          </cell>
          <cell r="J193" t="str">
            <v xml:space="preserve"> </v>
          </cell>
        </row>
        <row r="194">
          <cell r="A194">
            <v>193</v>
          </cell>
          <cell r="B194" t="str">
            <v>Distance</v>
          </cell>
          <cell r="C194" t="str">
            <v>Distance</v>
          </cell>
          <cell r="D194" t="str">
            <v>Odległość</v>
          </cell>
          <cell r="E194" t="str">
            <v>Distanta</v>
          </cell>
          <cell r="F194" t="str">
            <v>Distancia</v>
          </cell>
          <cell r="G194" t="str">
            <v>Distancia</v>
          </cell>
          <cell r="H194" t="str">
            <v>Távolság</v>
          </cell>
          <cell r="I194" t="str">
            <v>vzdialenosť</v>
          </cell>
          <cell r="J194" t="str">
            <v xml:space="preserve"> </v>
          </cell>
        </row>
        <row r="195">
          <cell r="A195">
            <v>194</v>
          </cell>
          <cell r="B195" t="str">
            <v>Position</v>
          </cell>
          <cell r="C195" t="str">
            <v>Position</v>
          </cell>
          <cell r="D195" t="str">
            <v>Pozycja</v>
          </cell>
          <cell r="E195" t="str">
            <v>Pozitie</v>
          </cell>
          <cell r="F195" t="str">
            <v>Posición</v>
          </cell>
          <cell r="G195" t="str">
            <v>Posição</v>
          </cell>
          <cell r="H195" t="str">
            <v>Pozíció</v>
          </cell>
          <cell r="I195" t="str">
            <v>pozícia</v>
          </cell>
          <cell r="J195" t="str">
            <v xml:space="preserve"> </v>
          </cell>
        </row>
        <row r="196">
          <cell r="A196">
            <v>195</v>
          </cell>
          <cell r="B196" t="str">
            <v>Eclairage</v>
          </cell>
          <cell r="C196" t="str">
            <v>Lighting</v>
          </cell>
          <cell r="D196" t="str">
            <v>Oświetlenie</v>
          </cell>
          <cell r="E196" t="str">
            <v>Lumina</v>
          </cell>
          <cell r="F196" t="str">
            <v>Iluminación</v>
          </cell>
          <cell r="G196" t="str">
            <v>luz</v>
          </cell>
          <cell r="H196" t="str">
            <v>Világítás</v>
          </cell>
          <cell r="I196" t="str">
            <v>osvetlenie</v>
          </cell>
          <cell r="J196" t="str">
            <v xml:space="preserve"> </v>
          </cell>
        </row>
        <row r="197">
          <cell r="A197">
            <v>196</v>
          </cell>
          <cell r="B197" t="str">
            <v>Temps de contrôle</v>
          </cell>
          <cell r="C197" t="str">
            <v>Inspection time</v>
          </cell>
          <cell r="D197" t="str">
            <v>Czas inspekcji</v>
          </cell>
          <cell r="E197" t="str">
            <v>Timp de inspectie</v>
          </cell>
          <cell r="F197" t="str">
            <v>Tiempo de control :</v>
          </cell>
          <cell r="G197" t="str">
            <v>Tempo de controlo</v>
          </cell>
          <cell r="H197" t="str">
            <v>Ellenőrzés időtartama</v>
          </cell>
          <cell r="I197" t="str">
            <v>čas kontroly</v>
          </cell>
          <cell r="J197" t="str">
            <v xml:space="preserve"> </v>
          </cell>
        </row>
        <row r="198">
          <cell r="A198">
            <v>197</v>
          </cell>
          <cell r="B198" t="str">
            <v>Dureté</v>
          </cell>
          <cell r="C198" t="str">
            <v>Hardness</v>
          </cell>
          <cell r="D198" t="str">
            <v>Twardość</v>
          </cell>
          <cell r="E198" t="str">
            <v>Duritate</v>
          </cell>
          <cell r="F198" t="str">
            <v>Dureza</v>
          </cell>
          <cell r="G198" t="str">
            <v>Dureza</v>
          </cell>
          <cell r="H198" t="str">
            <v>kemenyseg</v>
          </cell>
          <cell r="I198" t="str">
            <v>tvrdosť</v>
          </cell>
          <cell r="J198" t="str">
            <v xml:space="preserve"> </v>
          </cell>
        </row>
        <row r="199">
          <cell r="A199">
            <v>198</v>
          </cell>
          <cell r="B199" t="str">
            <v>Avec</v>
          </cell>
          <cell r="C199" t="str">
            <v>With</v>
          </cell>
          <cell r="D199" t="str">
            <v>z</v>
          </cell>
          <cell r="E199" t="str">
            <v>Cu</v>
          </cell>
          <cell r="F199" t="str">
            <v>Con</v>
          </cell>
          <cell r="G199" t="str">
            <v>Com</v>
          </cell>
          <cell r="H199" t="str">
            <v>-val</v>
          </cell>
          <cell r="I199" t="str">
            <v>s</v>
          </cell>
          <cell r="J199" t="str">
            <v xml:space="preserve"> </v>
          </cell>
        </row>
        <row r="200">
          <cell r="A200">
            <v>199</v>
          </cell>
          <cell r="B200" t="str">
            <v>Sans</v>
          </cell>
          <cell r="C200" t="str">
            <v>Without</v>
          </cell>
          <cell r="D200" t="str">
            <v>bez</v>
          </cell>
          <cell r="E200" t="str">
            <v>Fara</v>
          </cell>
          <cell r="F200" t="str">
            <v>Sin</v>
          </cell>
          <cell r="G200" t="str">
            <v>Sem</v>
          </cell>
          <cell r="H200" t="str">
            <v>Nélkűl</v>
          </cell>
          <cell r="I200" t="str">
            <v>bez</v>
          </cell>
          <cell r="J200" t="str">
            <v xml:space="preserve"> </v>
          </cell>
        </row>
        <row r="201">
          <cell r="A201">
            <v>200</v>
          </cell>
          <cell r="B201" t="str">
            <v>Dossier Technique Process</v>
          </cell>
          <cell r="C201" t="str">
            <v>Process Technical File</v>
          </cell>
          <cell r="D201" t="str">
            <v>Dokumentacja Techniczna Procesu</v>
          </cell>
          <cell r="E201" t="str">
            <v>Dosar tehnic de proces</v>
          </cell>
          <cell r="F201" t="str">
            <v>Expediente Técnico Proceso</v>
          </cell>
          <cell r="G201" t="str">
            <v>Dossier Tecnico do processo</v>
          </cell>
          <cell r="H201" t="str">
            <v>Proces Technikai Dokumentáció</v>
          </cell>
          <cell r="I201" t="str">
            <v>Technická dokumentácia</v>
          </cell>
          <cell r="J201" t="str">
            <v xml:space="preserve"> </v>
          </cell>
        </row>
        <row r="202">
          <cell r="A202">
            <v>201</v>
          </cell>
          <cell r="B202" t="str">
            <v>Intitulé de l'imprimé</v>
          </cell>
          <cell r="C202" t="str">
            <v>Document name</v>
          </cell>
          <cell r="D202" t="str">
            <v>Tytuły druków</v>
          </cell>
          <cell r="E202" t="str">
            <v>Cuprins</v>
          </cell>
          <cell r="F202" t="str">
            <v>Título del impreso</v>
          </cell>
          <cell r="G202" t="str">
            <v>Nome do Documento</v>
          </cell>
          <cell r="H202" t="str">
            <v>Dokumentumok</v>
          </cell>
          <cell r="I202" t="str">
            <v>Názov dokument</v>
          </cell>
          <cell r="J202" t="str">
            <v xml:space="preserve"> </v>
          </cell>
        </row>
        <row r="203">
          <cell r="A203">
            <v>202</v>
          </cell>
          <cell r="B203" t="str">
            <v>Voir tableau</v>
          </cell>
          <cell r="C203" t="str">
            <v>See table</v>
          </cell>
          <cell r="D203" t="str">
            <v>Patrz tabela</v>
          </cell>
          <cell r="E203" t="str">
            <v>Vedeti tabelul</v>
          </cell>
          <cell r="F203" t="str">
            <v>Ver tabla</v>
          </cell>
          <cell r="G203" t="str">
            <v>Ver tabela</v>
          </cell>
          <cell r="H203" t="str">
            <v>Lásd táblázat</v>
          </cell>
          <cell r="I203" t="str">
            <v>pozri tabuľku</v>
          </cell>
          <cell r="J203" t="str">
            <v xml:space="preserve"> </v>
          </cell>
        </row>
        <row r="204">
          <cell r="A204">
            <v>203</v>
          </cell>
          <cell r="B204" t="str">
            <v>Les pages couleurs concernent plus spécifiquement l'agent de production</v>
          </cell>
          <cell r="C204" t="str">
            <v>Pages in color concern principaly the operators</v>
          </cell>
          <cell r="D204" t="str">
            <v>Strony kolorowe dotyczą pracowników produkcji</v>
          </cell>
          <cell r="E204" t="str">
            <v>Paginile colorate din dosarul tehnic sunt pentru operatori.</v>
          </cell>
          <cell r="F204" t="str">
            <v>Las páginas a color del expediente técnico hacen referencia principalmente al operario</v>
          </cell>
          <cell r="G204" t="str">
            <v>As páginas coloridas são para utilização principalmente dos Operadores</v>
          </cell>
          <cell r="H204" t="str">
            <v>A színessel kiemeltek érintik elsősorban az operátorokat</v>
          </cell>
          <cell r="I204" t="str">
            <v>Farebné stránky sa týkajú operátorov</v>
          </cell>
          <cell r="J204" t="str">
            <v xml:space="preserve"> </v>
          </cell>
        </row>
        <row r="205">
          <cell r="A205">
            <v>204</v>
          </cell>
          <cell r="B205" t="str">
            <v>DATE DE QUALIFICATION PROCESS</v>
          </cell>
          <cell r="C205" t="str">
            <v>PROCESS QUALIFICATION DATE</v>
          </cell>
          <cell r="D205" t="str">
            <v>DATA KWALIFIKACJI PROCESU</v>
          </cell>
          <cell r="E205" t="str">
            <v>DATA DE CALIFICARE A PROCESULUI</v>
          </cell>
          <cell r="F205" t="str">
            <v>DATAT DE CALIFICACION DE PROCESOS</v>
          </cell>
          <cell r="G205" t="str">
            <v>DATA DE QUALIFICAÇÃO DO PROCESSO</v>
          </cell>
          <cell r="H205" t="str">
            <v>JÓVÁHAGYTA</v>
          </cell>
          <cell r="I205" t="str">
            <v>DÁTUM KVALIFIKÁCIA PROCESU</v>
          </cell>
          <cell r="J205" t="str">
            <v xml:space="preserve"> </v>
          </cell>
        </row>
        <row r="206">
          <cell r="A206">
            <v>205</v>
          </cell>
          <cell r="B206" t="str">
            <v>PROCEDURE</v>
          </cell>
          <cell r="C206" t="str">
            <v>PROCEDURE</v>
          </cell>
          <cell r="E206" t="str">
            <v>Procedura</v>
          </cell>
          <cell r="G206" t="str">
            <v>PROCEDIMENTO</v>
          </cell>
          <cell r="I206" t="str">
            <v>SMERNICA</v>
          </cell>
          <cell r="J206" t="str">
            <v xml:space="preserve"> </v>
          </cell>
        </row>
        <row r="207">
          <cell r="A207">
            <v>206</v>
          </cell>
          <cell r="B207" t="str">
            <v>TABLEAU DES REFERENCES ET DES VERSIONS ET NOMENCLATURE DU PRODUIT</v>
          </cell>
          <cell r="C207" t="str">
            <v>Part number and version tables BOM of product</v>
          </cell>
          <cell r="D207" t="str">
            <v>NOMENKLATURA I OPIS WERSJI</v>
          </cell>
          <cell r="E207" t="str">
            <v>TABEL DE CODURI, VERSIUNI SI NOMENCLATOR AL PRODUSULUI</v>
          </cell>
          <cell r="F207" t="str">
            <v>TABLAS DE REFERENCIAS Y DE LAS VERSIONES Y NOMENCLATURA DEL PRODUCTO</v>
          </cell>
          <cell r="G207" t="str">
            <v>QUADRO DE REFERENCIAS, VERSŐES E NUMENCLATURA DO PRODUTO</v>
          </cell>
          <cell r="H207" t="str">
            <v>ALKATRÉSZ AZONOSÍTÓ ÉS VERZIÓ TÁBLA. BEÉPÜLŐ ALKATRÉSZ LISTA.</v>
          </cell>
          <cell r="I207" t="str">
            <v>TABUĽKA REFERENCIÍÍ A VERZÍÍ A NOMENKLATÚR VÝROBKU</v>
          </cell>
          <cell r="J207" t="str">
            <v xml:space="preserve"> </v>
          </cell>
        </row>
        <row r="208">
          <cell r="A208">
            <v>207</v>
          </cell>
          <cell r="B208" t="str">
            <v>Quantité (unité)</v>
          </cell>
          <cell r="C208" t="str">
            <v>Quantity (unit)</v>
          </cell>
          <cell r="D208" t="str">
            <v>Ilość (jednostka)</v>
          </cell>
          <cell r="E208" t="str">
            <v>Cantitate (unitate)</v>
          </cell>
          <cell r="F208" t="str">
            <v>Cantidad (unidad)</v>
          </cell>
          <cell r="G208" t="str">
            <v>Quantidade unitária</v>
          </cell>
          <cell r="H208" t="str">
            <v>Mennyiség</v>
          </cell>
          <cell r="I208" t="str">
            <v>množstvo ( jednotka )</v>
          </cell>
          <cell r="J208" t="str">
            <v xml:space="preserve"> </v>
          </cell>
        </row>
        <row r="209">
          <cell r="A209">
            <v>208</v>
          </cell>
          <cell r="B209" t="str">
            <v>N° composant</v>
          </cell>
          <cell r="C209" t="str">
            <v>Component n°</v>
          </cell>
          <cell r="D209" t="str">
            <v>Nr kompon.</v>
          </cell>
          <cell r="E209" t="str">
            <v>nr. Component</v>
          </cell>
          <cell r="F209" t="str">
            <v>N° Compon.</v>
          </cell>
          <cell r="G209" t="str">
            <v>Componente nº.</v>
          </cell>
          <cell r="H209" t="str">
            <v>IS cikkszám</v>
          </cell>
          <cell r="I209" t="str">
            <v>číslo komponentu</v>
          </cell>
          <cell r="J209" t="str">
            <v xml:space="preserve"> </v>
          </cell>
        </row>
        <row r="210">
          <cell r="A210">
            <v>209</v>
          </cell>
          <cell r="B210" t="str">
            <v>Entrer la référence GPAO dans la cellule K10
et
Cliquer sur "Mise à jour Gamme et Nomenclature"</v>
          </cell>
          <cell r="C210" t="str">
            <v>Enter the CAPM part number in cell K10
And
Click on "Mise à jour Gamme et Nomenclature"</v>
          </cell>
          <cell r="D210" t="str">
            <v xml:space="preserve">Wpisać ref. GPAO w komórce K10
oraz
Nacisnąć na uaktualnienie wersji i nomenkletury </v>
          </cell>
          <cell r="E210" t="str">
            <v>A se introduce referinta GPAO in celula K 10
si
dati clic pe "Actualizarea gamei si a nomenclaturii"</v>
          </cell>
          <cell r="F210" t="str">
            <v>Introducir la referencia GPAO en  la célula K10
y
marcar actualización, gama y nomenclatura.</v>
          </cell>
          <cell r="G210" t="str">
            <v>Introduzir a Referencia GPAO na célula K10. e carregar sobre " Mise à jour Gamme et Nomenclature"</v>
          </cell>
          <cell r="H210" t="str">
            <v>Sorry, Hungarian translation is under construction</v>
          </cell>
          <cell r="I210" t="str">
            <v>Vložte referenciu GPX do bunky K10
A
Kliknite na "Mise a jour...."</v>
          </cell>
          <cell r="J210" t="str">
            <v xml:space="preserve"> </v>
          </cell>
        </row>
        <row r="211">
          <cell r="A211">
            <v>210</v>
          </cell>
          <cell r="B211" t="str">
            <v>Mise à jour  Gamme et Nomenclature</v>
          </cell>
          <cell r="C211" t="str">
            <v>Update Operations Routing and Bill of Material</v>
          </cell>
          <cell r="D211" t="str">
            <v>Uaktualnienie wersji i nomenklatury</v>
          </cell>
          <cell r="E211" t="str">
            <v>Actualizarea gamei si a nomenclaturii</v>
          </cell>
          <cell r="F211" t="str">
            <v>Actualización Gama y Nomenclatura</v>
          </cell>
          <cell r="G211" t="str">
            <v>Actualização da Gama e Numenclatura</v>
          </cell>
          <cell r="H211" t="str">
            <v xml:space="preserve"> --&gt; hungarian ?</v>
          </cell>
          <cell r="I211" t="str">
            <v>aktualizácia postupu a nomenklatúry</v>
          </cell>
          <cell r="J211" t="str">
            <v xml:space="preserve"> </v>
          </cell>
        </row>
        <row r="212">
          <cell r="A212">
            <v>211</v>
          </cell>
          <cell r="B212" t="str">
            <v>Calcul</v>
          </cell>
          <cell r="C212" t="str">
            <v>Result</v>
          </cell>
          <cell r="D212" t="str">
            <v>Wynik</v>
          </cell>
          <cell r="E212" t="str">
            <v>Calcul</v>
          </cell>
          <cell r="G212" t="str">
            <v>Resultado</v>
          </cell>
          <cell r="H212" t="str">
            <v xml:space="preserve"> --&gt; hungarian ?</v>
          </cell>
          <cell r="I212" t="str">
            <v>výsledok</v>
          </cell>
          <cell r="J212" t="str">
            <v xml:space="preserve"> </v>
          </cell>
        </row>
        <row r="213">
          <cell r="A213">
            <v>212</v>
          </cell>
          <cell r="F213" t="str">
            <v>FICHA DE REFERENCIA DE VERSÃO</v>
          </cell>
          <cell r="J213" t="str">
            <v xml:space="preserve"> </v>
          </cell>
        </row>
        <row r="214">
          <cell r="A214">
            <v>213</v>
          </cell>
          <cell r="B214" t="str">
            <v>FICHE DE REFERENCE ET DE VERSION</v>
          </cell>
          <cell r="C214" t="str">
            <v>Part Number and Version Form</v>
          </cell>
          <cell r="D214" t="str">
            <v>KARTA REFERENCJI I WERSJI</v>
          </cell>
          <cell r="E214" t="str">
            <v>FISA REFERINTEI SI A VERSIUNII</v>
          </cell>
          <cell r="F214" t="str">
            <v>FICHA DE REFERENCIAS Y DE LAS VERSIONES</v>
          </cell>
          <cell r="G214" t="str">
            <v>FICHA DE REFERENCIA DE VERSÃO</v>
          </cell>
          <cell r="H214" t="str">
            <v>BETÉT AZONOSITÓ ÉS VERZIÓ ADATLAP</v>
          </cell>
          <cell r="I214" t="str">
            <v>ZLOŽKA ČÍSLA VÝROBKU A VERZIE</v>
          </cell>
          <cell r="J214" t="str">
            <v xml:space="preserve"> </v>
          </cell>
        </row>
        <row r="215">
          <cell r="A215">
            <v>214</v>
          </cell>
          <cell r="B215" t="str">
            <v>Côté opérateur</v>
          </cell>
          <cell r="C215" t="str">
            <v>Operator's side</v>
          </cell>
          <cell r="D215" t="str">
            <v>Strona operatora</v>
          </cell>
          <cell r="E215" t="str">
            <v>Cota operator</v>
          </cell>
          <cell r="F215" t="str">
            <v>Lado del operario</v>
          </cell>
          <cell r="G215" t="str">
            <v>lado do Operador</v>
          </cell>
          <cell r="H215" t="str">
            <v>Operátor oldal</v>
          </cell>
          <cell r="I215" t="str">
            <v>Stana operána</v>
          </cell>
          <cell r="J215" t="str">
            <v xml:space="preserve"> </v>
          </cell>
        </row>
        <row r="216">
          <cell r="A216">
            <v>215</v>
          </cell>
          <cell r="B216" t="str">
            <v>Côté opposé opérateur</v>
          </cell>
          <cell r="C216" t="str">
            <v>Opposite of operator's side</v>
          </cell>
          <cell r="D216" t="str">
            <v>Strona naprzeciw operatora</v>
          </cell>
          <cell r="E216" t="str">
            <v>Cota opusa operatorului</v>
          </cell>
          <cell r="F216" t="str">
            <v>Lado opuesto al operario</v>
          </cell>
          <cell r="G216" t="str">
            <v>Lado oposto ao Operador</v>
          </cell>
          <cell r="H216" t="str">
            <v>Operátorral ellentétes oldal</v>
          </cell>
          <cell r="I216" t="str">
            <v>Stana oproti operána</v>
          </cell>
          <cell r="J216" t="str">
            <v xml:space="preserve"> </v>
          </cell>
        </row>
        <row r="217">
          <cell r="A217">
            <v>216</v>
          </cell>
          <cell r="B217" t="str">
            <v>CHANGEMENT DE VERSION</v>
          </cell>
          <cell r="C217" t="str">
            <v>VERSION CHANGING</v>
          </cell>
          <cell r="D217" t="str">
            <v>ZMIANA WERSJI</v>
          </cell>
          <cell r="E217" t="str">
            <v>SCHIMBAREA VERSIUNII</v>
          </cell>
          <cell r="F217" t="str">
            <v>CAMBIO DE VERSIÓN</v>
          </cell>
          <cell r="G217" t="str">
            <v>Mudança de Versão</v>
          </cell>
          <cell r="H217" t="str">
            <v>VERZIÓ VÁLTÁS</v>
          </cell>
          <cell r="I217" t="str">
            <v>ZMENA VERZIE</v>
          </cell>
          <cell r="J217" t="str">
            <v xml:space="preserve"> </v>
          </cell>
        </row>
        <row r="218">
          <cell r="A218">
            <v>217</v>
          </cell>
          <cell r="B218" t="str">
            <v>Sur presse</v>
          </cell>
          <cell r="C218" t="str">
            <v>On the machine</v>
          </cell>
          <cell r="D218" t="str">
            <v>Na maszynie</v>
          </cell>
          <cell r="E218" t="str">
            <v>Pe presa</v>
          </cell>
          <cell r="F218" t="str">
            <v>Sobre la máquina</v>
          </cell>
          <cell r="G218" t="str">
            <v>Na máquina</v>
          </cell>
          <cell r="H218" t="str">
            <v>Gépen</v>
          </cell>
          <cell r="I218" t="str">
            <v>na stroji</v>
          </cell>
          <cell r="J218" t="str">
            <v xml:space="preserve"> </v>
          </cell>
        </row>
        <row r="219">
          <cell r="A219">
            <v>218</v>
          </cell>
          <cell r="B219" t="str">
            <v>Au pied de la Presse</v>
          </cell>
          <cell r="C219" t="str">
            <v>Next to the machin</v>
          </cell>
          <cell r="D219" t="str">
            <v>Poza maszyną</v>
          </cell>
          <cell r="E219" t="str">
            <v>Alaturi de presa</v>
          </cell>
          <cell r="F219" t="str">
            <v>Al pié de máquina</v>
          </cell>
          <cell r="G219" t="str">
            <v>Junto á máquina</v>
          </cell>
          <cell r="H219" t="str">
            <v>Gép mellett</v>
          </cell>
          <cell r="I219" t="str">
            <v>Pri stroji</v>
          </cell>
          <cell r="J219" t="str">
            <v xml:space="preserve"> </v>
          </cell>
        </row>
        <row r="220">
          <cell r="A220">
            <v>219</v>
          </cell>
          <cell r="B220" t="str">
            <v>Repérage logements pavés de version</v>
          </cell>
          <cell r="C220" t="str">
            <v>Notation of version blocks</v>
          </cell>
          <cell r="D220" t="str">
            <v xml:space="preserve">Oznaczenie wersji wewnątrz formy </v>
          </cell>
          <cell r="E220" t="str">
            <v>Notarea versiunii blocurilor</v>
          </cell>
          <cell r="F220" t="str">
            <v>Localización de los postizos de versión</v>
          </cell>
          <cell r="G220" t="str">
            <v>Identificação dos postiços de cada versão</v>
          </cell>
          <cell r="H220" t="str">
            <v>Verzió blokkok jelölése  notation of version blocks</v>
          </cell>
          <cell r="I220" t="str">
            <v>záznam o verzii blokov</v>
          </cell>
          <cell r="J220" t="str">
            <v xml:space="preserve"> </v>
          </cell>
        </row>
        <row r="221">
          <cell r="A221">
            <v>220</v>
          </cell>
          <cell r="B221" t="str">
            <v>Repère pavés</v>
          </cell>
          <cell r="C221" t="str">
            <v>Reference blocks</v>
          </cell>
          <cell r="D221" t="str">
            <v>Referencja bloku</v>
          </cell>
          <cell r="E221" t="str">
            <v>Referinta blocuri</v>
          </cell>
          <cell r="F221" t="str">
            <v>Referencia positizos</v>
          </cell>
          <cell r="G221" t="str">
            <v>Identificação  dos postiços</v>
          </cell>
          <cell r="H221" t="str">
            <v>Referencia blokkok</v>
          </cell>
          <cell r="I221" t="str">
            <v>referencie blokov</v>
          </cell>
          <cell r="J221" t="str">
            <v xml:space="preserve"> </v>
          </cell>
        </row>
        <row r="222">
          <cell r="A222">
            <v>221</v>
          </cell>
          <cell r="B222" t="str">
            <v xml:space="preserve">Coté partie mobile </v>
          </cell>
          <cell r="C222" t="str">
            <v>Side moving part</v>
          </cell>
          <cell r="D222" t="str">
            <v>Wymiary stempla</v>
          </cell>
          <cell r="E222" t="str">
            <v>Locul partii mobile</v>
          </cell>
          <cell r="F222" t="str">
            <v>Lado parte móbil</v>
          </cell>
          <cell r="G222" t="str">
            <v>Bucha</v>
          </cell>
          <cell r="H222" t="str">
            <v>Mozgó oldali rész</v>
          </cell>
          <cell r="I222" t="str">
            <v>strana pohyblivej časti</v>
          </cell>
          <cell r="J222" t="str">
            <v xml:space="preserve"> </v>
          </cell>
        </row>
        <row r="223">
          <cell r="A223">
            <v>222</v>
          </cell>
          <cell r="B223" t="str">
            <v>Coté partie fixe</v>
          </cell>
          <cell r="C223" t="str">
            <v>Side fixed part</v>
          </cell>
          <cell r="D223" t="str">
            <v xml:space="preserve">Wymiary matrycy </v>
          </cell>
          <cell r="E223" t="str">
            <v>Locul partii fixe</v>
          </cell>
          <cell r="F223" t="str">
            <v>Lado parte fija</v>
          </cell>
          <cell r="G223" t="str">
            <v>Cavidade</v>
          </cell>
          <cell r="H223" t="str">
            <v>Álló oldali rész</v>
          </cell>
          <cell r="I223" t="str">
            <v>strana fixnej časti</v>
          </cell>
          <cell r="J223" t="str">
            <v xml:space="preserve"> </v>
          </cell>
        </row>
        <row r="224">
          <cell r="A224">
            <v>223</v>
          </cell>
          <cell r="B224" t="str">
            <v>Vis utilisées</v>
          </cell>
          <cell r="C224" t="str">
            <v>Screw used</v>
          </cell>
          <cell r="D224" t="str">
            <v>Używane śruby</v>
          </cell>
          <cell r="E224" t="str">
            <v>Suruburi utilizate</v>
          </cell>
          <cell r="F224" t="str">
            <v>Tornillos empleados</v>
          </cell>
          <cell r="G224" t="str">
            <v xml:space="preserve">Fuso usado </v>
          </cell>
          <cell r="H224" t="str">
            <v>Használatban lévő csiga</v>
          </cell>
          <cell r="I224" t="str">
            <v>použitý šnek</v>
          </cell>
          <cell r="J224" t="str">
            <v xml:space="preserve"> </v>
          </cell>
        </row>
        <row r="225">
          <cell r="A225">
            <v>224</v>
          </cell>
          <cell r="J225" t="str">
            <v xml:space="preserve"> </v>
          </cell>
        </row>
        <row r="226">
          <cell r="A226">
            <v>225</v>
          </cell>
          <cell r="B226" t="str">
            <v>BRANCHEMENTS NOYAUX ET BLOC CHAUD</v>
          </cell>
          <cell r="C226" t="str">
            <v>Hydraulic movement and Hot runner connections</v>
          </cell>
          <cell r="D226" t="str">
            <v>PODŁĄCZENIE RDZENIA I GORĄCYCH KANAŁÓW</v>
          </cell>
          <cell r="E226" t="str">
            <v>BRANSAREA BLOCULUI INCALZITOR</v>
          </cell>
          <cell r="F226" t="str">
            <v>CONEXIONES DE MOVIMIENTO HIDRÁULICO Y DE CAMARA CALIENTE</v>
          </cell>
          <cell r="G226" t="str">
            <v>MOVIMENTOS DOS HIDRAULICOS E LIGAÇÃO DOS CANAIS QUENTES</v>
          </cell>
          <cell r="H226" t="str">
            <v>HIDRAULIKUS MAGMOZGATÁS ÉS FORRÓCSATORNA CSATLAKOZÁSOK</v>
          </cell>
          <cell r="I226" t="str">
            <v>ZAPOJENIE JADRA A HORÚCEHO VTOKU</v>
          </cell>
          <cell r="J226" t="str">
            <v xml:space="preserve"> </v>
          </cell>
        </row>
        <row r="227">
          <cell r="A227">
            <v>226</v>
          </cell>
          <cell r="B227" t="str">
            <v>Nbre d'empreintes</v>
          </cell>
          <cell r="C227" t="str">
            <v xml:space="preserve">Cavity quantity </v>
          </cell>
          <cell r="D227" t="str">
            <v xml:space="preserve">Liczba gniazd </v>
          </cell>
          <cell r="E227" t="str">
            <v>Numar de amprente</v>
          </cell>
          <cell r="F227" t="str">
            <v>N° de cavidades</v>
          </cell>
          <cell r="G227" t="str">
            <v>Numero de cavidades</v>
          </cell>
          <cell r="H227" t="str">
            <v>Fészekszám</v>
          </cell>
          <cell r="I227" t="str">
            <v>Poč. Násobnost</v>
          </cell>
          <cell r="J227" t="str">
            <v xml:space="preserve"> </v>
          </cell>
        </row>
        <row r="228">
          <cell r="A228">
            <v>227</v>
          </cell>
          <cell r="B228" t="str">
            <v>Ø  Bague de centrage</v>
          </cell>
          <cell r="C228" t="str">
            <v xml:space="preserve">Centring bush diameter </v>
          </cell>
          <cell r="D228" t="str">
            <v>Ø  Pierścień centrujący</v>
          </cell>
          <cell r="E228" t="str">
            <v>Ø Inel de centrare</v>
          </cell>
          <cell r="F228" t="str">
            <v>Ø Anilo centraje</v>
          </cell>
          <cell r="G228" t="str">
            <v>Anel de centragem</v>
          </cell>
          <cell r="H228" t="str">
            <v>Ø Központosító tárcsa</v>
          </cell>
          <cell r="I228" t="str">
            <v>Priemer strediaceho kruhu</v>
          </cell>
          <cell r="J228" t="str">
            <v xml:space="preserve"> </v>
          </cell>
        </row>
        <row r="229">
          <cell r="A229">
            <v>228</v>
          </cell>
          <cell r="B229" t="str">
            <v>Rayon du reçu de buse</v>
          </cell>
          <cell r="C229" t="str">
            <v>Nozzel Radius</v>
          </cell>
          <cell r="D229" t="str">
            <v>Promień dyszy wtrsk.</v>
          </cell>
          <cell r="E229" t="str">
            <v>Raza duzei matritei</v>
          </cell>
          <cell r="F229" t="str">
            <v>Radio puntera boquilla</v>
          </cell>
          <cell r="G229" t="str">
            <v>Raio do bico</v>
          </cell>
          <cell r="H229" t="str">
            <v>Beömlő rádiusza</v>
          </cell>
          <cell r="I229" t="str">
            <v>Priemer trysky</v>
          </cell>
          <cell r="J229" t="str">
            <v xml:space="preserve"> </v>
          </cell>
        </row>
        <row r="230">
          <cell r="A230">
            <v>229</v>
          </cell>
          <cell r="B230" t="str">
            <v>Ø  Passage matière</v>
          </cell>
          <cell r="C230" t="str">
            <v>Raw material crossing Ø</v>
          </cell>
          <cell r="D230" t="str">
            <v>Ø  Przepust materiału</v>
          </cell>
          <cell r="E230" t="str">
            <v>Ø Pasaj de material</v>
          </cell>
          <cell r="F230" t="str">
            <v>Ø Paso material</v>
          </cell>
          <cell r="G230" t="str">
            <v>Ø Passagem material</v>
          </cell>
          <cell r="H230" t="str">
            <v>Ø Beömlő átmérője</v>
          </cell>
          <cell r="I230" t="str">
            <v>zmena materiálu</v>
          </cell>
          <cell r="J230" t="str">
            <v xml:space="preserve"> </v>
          </cell>
        </row>
        <row r="231">
          <cell r="A231">
            <v>230</v>
          </cell>
          <cell r="B231" t="str">
            <v>Plaque robot</v>
          </cell>
          <cell r="C231" t="str">
            <v>Robot plate</v>
          </cell>
          <cell r="D231" t="str">
            <v>Tabliczka łapy robota</v>
          </cell>
          <cell r="E231" t="str">
            <v>Placa robot</v>
          </cell>
          <cell r="F231" t="str">
            <v>Placa robot</v>
          </cell>
          <cell r="G231" t="str">
            <v>Chapa robot</v>
          </cell>
          <cell r="H231" t="str">
            <v>Robot fej</v>
          </cell>
          <cell r="I231" t="str">
            <v>Doska robota</v>
          </cell>
          <cell r="J231" t="str">
            <v xml:space="preserve"> </v>
          </cell>
        </row>
        <row r="232">
          <cell r="A232">
            <v>231</v>
          </cell>
          <cell r="B232" t="str">
            <v>Partie noyau</v>
          </cell>
          <cell r="C232" t="str">
            <v>Hydraulic movement part</v>
          </cell>
          <cell r="D232" t="str">
            <v>Rdzeń</v>
          </cell>
          <cell r="E232" t="str">
            <v>Parte nucleu</v>
          </cell>
          <cell r="F232" t="str">
            <v>Sección noyo</v>
          </cell>
          <cell r="G232" t="str">
            <v>Inicio movimento Hidraulico</v>
          </cell>
          <cell r="H232" t="str">
            <v>Hidraulikus mozgatás</v>
          </cell>
          <cell r="I232" t="str">
            <v>časť jadra</v>
          </cell>
          <cell r="J232" t="str">
            <v xml:space="preserve"> </v>
          </cell>
        </row>
        <row r="233">
          <cell r="A233">
            <v>232</v>
          </cell>
          <cell r="B233" t="str">
            <v>Description des fonctions noyaux et sécurité éjection</v>
          </cell>
          <cell r="C233" t="str">
            <v>Description of hydraulic movements and ejection safety</v>
          </cell>
          <cell r="D233" t="str">
            <v>Opis funkcji rdzenia oraz bezpieczeństwo wtrysku</v>
          </cell>
          <cell r="E233" t="str">
            <v xml:space="preserve">Descrierea functiilor nucleelor si securitatea ejectiei  </v>
          </cell>
          <cell r="F233" t="str">
            <v>Descripción de las funciones de noyos y seguridad de expulsión</v>
          </cell>
          <cell r="G233" t="str">
            <v xml:space="preserve">Descrição dos movimentos Hidraulicos e segurança na extração </v>
          </cell>
          <cell r="H233" t="str">
            <v>Hidraulikus mozgások és kidobó védelem leírása</v>
          </cell>
          <cell r="I233" t="str">
            <v>popis funkcie jadra a ochrany vstrekovania</v>
          </cell>
          <cell r="J233" t="str">
            <v xml:space="preserve"> </v>
          </cell>
        </row>
        <row r="234">
          <cell r="A234">
            <v>233</v>
          </cell>
          <cell r="B234" t="str">
            <v>Busette à obturateur (type Mold Masters)</v>
          </cell>
          <cell r="C234" t="str">
            <v xml:space="preserve">Sealing nozzle (type mould Masters) </v>
          </cell>
          <cell r="D234" t="str">
            <v xml:space="preserve">Dysza zamykana (typ Mold Masters) </v>
          </cell>
          <cell r="E234" t="str">
            <v xml:space="preserve">Duza de obturat (tip Mold Masters) </v>
          </cell>
          <cell r="F234" t="str">
            <v xml:space="preserve">Obturador inyección (tipo Mold Masters) </v>
          </cell>
          <cell r="G234" t="str">
            <v>Bico com obturador (Valve-gate) (tipo Mold Masters)</v>
          </cell>
          <cell r="H234" t="str">
            <v>Szelepzárás (típusa  Mold Masters)</v>
          </cell>
          <cell r="I234" t="str">
            <v>Tesnenie trysky (typ formy Masters)</v>
          </cell>
          <cell r="J234" t="str">
            <v xml:space="preserve"> </v>
          </cell>
        </row>
        <row r="235">
          <cell r="A235">
            <v>234</v>
          </cell>
          <cell r="B235" t="str">
            <v>Pneumatique</v>
          </cell>
          <cell r="C235" t="str">
            <v>Pneumatic</v>
          </cell>
          <cell r="D235" t="str">
            <v>Pneumatyk</v>
          </cell>
          <cell r="E235" t="str">
            <v>Pneumatic</v>
          </cell>
          <cell r="F235" t="str">
            <v>Pneumatíco</v>
          </cell>
          <cell r="G235" t="str">
            <v>Pneumática</v>
          </cell>
          <cell r="H235" t="str">
            <v>Pneumatik</v>
          </cell>
          <cell r="I235" t="str">
            <v>Pneumaticky</v>
          </cell>
          <cell r="J235" t="str">
            <v xml:space="preserve"> </v>
          </cell>
        </row>
        <row r="236">
          <cell r="A236">
            <v>235</v>
          </cell>
          <cell r="B236" t="str">
            <v>Hydraulique</v>
          </cell>
          <cell r="C236" t="str">
            <v>Hydraulic</v>
          </cell>
          <cell r="D236" t="str">
            <v>Hydraulik</v>
          </cell>
          <cell r="E236" t="str">
            <v>Hidraulic</v>
          </cell>
          <cell r="F236" t="str">
            <v>Hidráulíco</v>
          </cell>
          <cell r="G236" t="str">
            <v>Hidraulica</v>
          </cell>
          <cell r="H236" t="str">
            <v>Hidraulik</v>
          </cell>
          <cell r="I236" t="str">
            <v>hydraulický</v>
          </cell>
          <cell r="J236" t="str">
            <v xml:space="preserve"> </v>
          </cell>
        </row>
        <row r="237">
          <cell r="A237">
            <v>236</v>
          </cell>
          <cell r="B237" t="str">
            <v>Fonction partie fixe hydraulique</v>
          </cell>
          <cell r="C237" t="str">
            <v>Hydraulic function  fixed part</v>
          </cell>
          <cell r="D237" t="str">
            <v>Funkcja hydrauliczna części stałej</v>
          </cell>
          <cell r="E237" t="str">
            <v>Functia partii fixe hidraulice</v>
          </cell>
          <cell r="F237" t="str">
            <v>Funciones sección fija hidráulica</v>
          </cell>
          <cell r="G237" t="str">
            <v>Função hidraulica da lado fixo</v>
          </cell>
          <cell r="H237" t="str">
            <v>Hidraulikus funkció a mozgó oldalon</v>
          </cell>
          <cell r="I237" t="str">
            <v>funkcia fixnej hydraulickej časti</v>
          </cell>
          <cell r="J237" t="str">
            <v xml:space="preserve"> </v>
          </cell>
        </row>
        <row r="238">
          <cell r="A238">
            <v>237</v>
          </cell>
          <cell r="B238" t="str">
            <v>Fonction partie fixe pneumatique</v>
          </cell>
          <cell r="C238" t="str">
            <v xml:space="preserve">Pneumatic function  fixed part </v>
          </cell>
          <cell r="D238" t="str">
            <v>Funkcja pneumatyczna części stałej</v>
          </cell>
          <cell r="E238" t="str">
            <v>Functia partii fixe pneumatice</v>
          </cell>
          <cell r="F238" t="str">
            <v>Funciones sección fija pneumática</v>
          </cell>
          <cell r="G238" t="str">
            <v>Função pneumática lado fixo</v>
          </cell>
          <cell r="H238" t="str">
            <v>Pneumatikus funkció az álló oldalon</v>
          </cell>
          <cell r="I238" t="str">
            <v>funkcia fixnej pneumatickej časti</v>
          </cell>
          <cell r="J238" t="str">
            <v xml:space="preserve"> </v>
          </cell>
        </row>
        <row r="239">
          <cell r="A239">
            <v>238</v>
          </cell>
          <cell r="B239" t="str">
            <v>Fonction partie mobile hydraulique</v>
          </cell>
          <cell r="C239" t="str">
            <v xml:space="preserve">Hydraulic function moving part </v>
          </cell>
          <cell r="D239" t="str">
            <v>Funkcja hydrauliczna części ruchomej</v>
          </cell>
          <cell r="E239" t="str">
            <v>Functia partii mobile hidraulice</v>
          </cell>
          <cell r="F239" t="str">
            <v>Funciones sección móbil hidráulica</v>
          </cell>
          <cell r="G239" t="str">
            <v>Função hidraulica da lado móvel</v>
          </cell>
          <cell r="H239" t="str">
            <v>Hidraulikus funkció a mozgó oldalon</v>
          </cell>
          <cell r="I239" t="str">
            <v>funkcia pohyblivej hydraulickej časti</v>
          </cell>
          <cell r="J239" t="str">
            <v xml:space="preserve"> </v>
          </cell>
        </row>
        <row r="240">
          <cell r="A240">
            <v>239</v>
          </cell>
          <cell r="B240" t="str">
            <v>Fonction partie mobile pneumatique</v>
          </cell>
          <cell r="C240" t="str">
            <v xml:space="preserve">Pneumatic function moving part </v>
          </cell>
          <cell r="D240" t="str">
            <v>Funkcja pneumatyczna części ruchomej</v>
          </cell>
          <cell r="E240" t="str">
            <v>Functia partii mobile pneumatice</v>
          </cell>
          <cell r="F240" t="str">
            <v>Funciones sección móbil pneumática</v>
          </cell>
          <cell r="G240" t="str">
            <v>Função pneumática lado móvel</v>
          </cell>
          <cell r="H240" t="str">
            <v>Pneumatikus funkció az álló oldalon</v>
          </cell>
          <cell r="I240" t="str">
            <v>funkcia pohyblivej pneumatickej časti</v>
          </cell>
          <cell r="J240" t="str">
            <v xml:space="preserve"> </v>
          </cell>
        </row>
        <row r="241">
          <cell r="A241">
            <v>240</v>
          </cell>
          <cell r="B241" t="str">
            <v>Partie d'éjection</v>
          </cell>
          <cell r="C241" t="str">
            <v>Ejection part</v>
          </cell>
          <cell r="D241" t="str">
            <v>Wtrysk</v>
          </cell>
          <cell r="E241" t="str">
            <v>Partea de ejectie</v>
          </cell>
          <cell r="F241" t="str">
            <v>Sección de expulsión</v>
          </cell>
          <cell r="G241" t="str">
            <v>Lado da extração</v>
          </cell>
          <cell r="H241" t="str">
            <v>Kilökő rendszer</v>
          </cell>
          <cell r="I241" t="str">
            <v>časť vyhadzovača</v>
          </cell>
          <cell r="J241" t="str">
            <v xml:space="preserve"> </v>
          </cell>
        </row>
        <row r="242">
          <cell r="A242">
            <v>241</v>
          </cell>
          <cell r="B242" t="str">
            <v>Vitesse d'éjection</v>
          </cell>
          <cell r="C242" t="str">
            <v>Ejection speed</v>
          </cell>
          <cell r="D242" t="str">
            <v>Prędkość wtrysku</v>
          </cell>
          <cell r="E242" t="str">
            <v>Viteza de ejectie</v>
          </cell>
          <cell r="F242" t="str">
            <v>Velocidad de expulsión</v>
          </cell>
          <cell r="G242" t="str">
            <v>Velocidade de extração</v>
          </cell>
          <cell r="H242" t="str">
            <v>Kilökési sebesség</v>
          </cell>
          <cell r="I242" t="str">
            <v>Rýchlosť vyhadzovanie</v>
          </cell>
          <cell r="J242" t="str">
            <v xml:space="preserve"> </v>
          </cell>
        </row>
        <row r="243">
          <cell r="A243">
            <v>242</v>
          </cell>
          <cell r="B243" t="str">
            <v>Pression d'éjection</v>
          </cell>
          <cell r="C243" t="str">
            <v>Ejection pressure</v>
          </cell>
          <cell r="D243" t="str">
            <v>Ciśnienie wtrysku</v>
          </cell>
          <cell r="E243" t="str">
            <v>Presiunea de ejectie</v>
          </cell>
          <cell r="F243" t="str">
            <v>Presión de expulsión</v>
          </cell>
          <cell r="G243" t="str">
            <v>Pressão de extração</v>
          </cell>
          <cell r="H243" t="str">
            <v>Kilökés nyomása</v>
          </cell>
          <cell r="I243" t="str">
            <v>Tlak vyhadzovanie</v>
          </cell>
          <cell r="J243" t="str">
            <v xml:space="preserve"> </v>
          </cell>
        </row>
        <row r="244">
          <cell r="A244">
            <v>243</v>
          </cell>
          <cell r="B244" t="str">
            <v>Partie bloc chauds</v>
          </cell>
          <cell r="C244" t="str">
            <v>Hot runner part</v>
          </cell>
          <cell r="D244" t="str">
            <v>Układ gorących kanałów</v>
          </cell>
          <cell r="E244" t="str">
            <v>Parte bloc cald</v>
          </cell>
          <cell r="F244" t="str">
            <v>Sección camara caliente</v>
          </cell>
          <cell r="G244" t="str">
            <v>Parte dos canais quentes</v>
          </cell>
          <cell r="H244" t="str">
            <v>Forró csatorna</v>
          </cell>
          <cell r="I244" t="str">
            <v>časť horúceho vtoku</v>
          </cell>
          <cell r="J244" t="str">
            <v xml:space="preserve"> </v>
          </cell>
        </row>
        <row r="245">
          <cell r="A245">
            <v>244</v>
          </cell>
          <cell r="B245" t="str">
            <v>REÇU BUSE</v>
          </cell>
          <cell r="C245" t="str">
            <v>NOZZEL ADAPTATOR</v>
          </cell>
          <cell r="D245" t="str">
            <v>ADAPTATOR DYSZY WTRYSKOWEJ</v>
          </cell>
          <cell r="E245" t="str">
            <v>ADAPTATOR DUZA DE INJECTARE</v>
          </cell>
          <cell r="F245" t="str">
            <v>PUNTERA BOQUILLA INYECTOR</v>
          </cell>
          <cell r="G245" t="str">
            <v xml:space="preserve">ADAPTADOR DO BICO </v>
          </cell>
          <cell r="H245" t="str">
            <v>BELÖVŐ MANDZSETTA</v>
          </cell>
          <cell r="I245" t="str">
            <v>ADAPTÉR TRYSKY</v>
          </cell>
          <cell r="J245" t="str">
            <v xml:space="preserve"> </v>
          </cell>
        </row>
        <row r="246">
          <cell r="A246">
            <v>245</v>
          </cell>
          <cell r="B246" t="str">
            <v>BLOC TRANSFERT</v>
          </cell>
          <cell r="C246" t="str">
            <v>BLOCK TRANSFER</v>
          </cell>
          <cell r="D246" t="str">
            <v>BLOK TRANSFEROWY - ROZDZIELACZ</v>
          </cell>
          <cell r="E246" t="str">
            <v>BLOC TRANSFER</v>
          </cell>
          <cell r="F246" t="str">
            <v>TRANSFERENCIA BLOQUE</v>
          </cell>
          <cell r="G246" t="str">
            <v>BLOCO DE TRANSFERÊNCIA</v>
          </cell>
          <cell r="H246" t="str">
            <v>ELOSZTŐ TÖMB</v>
          </cell>
          <cell r="I246" t="str">
            <v>BLOK TRANSFER</v>
          </cell>
          <cell r="J246" t="str">
            <v xml:space="preserve"> </v>
          </cell>
        </row>
        <row r="247">
          <cell r="A247">
            <v>246</v>
          </cell>
          <cell r="B247" t="str">
            <v>BLOC CÔTÉ OPÉRATEUR</v>
          </cell>
          <cell r="C247" t="str">
            <v>BLOCK OPERATOR'S SIDE</v>
          </cell>
          <cell r="D247" t="str">
            <v>BLOK PO STRONIE OPERATORA</v>
          </cell>
          <cell r="E247" t="str">
            <v>BLOC LOC OPERATOR</v>
          </cell>
          <cell r="F247" t="str">
            <v>BLOQUE LADO OPERARIO</v>
          </cell>
          <cell r="G247" t="str">
            <v>BLOCO LADO OPERADOR</v>
          </cell>
          <cell r="H247" t="str">
            <v>TÖMB AZ OPÉRATOR OLDALON</v>
          </cell>
          <cell r="I247" t="str">
            <v>BLOK STRANA OPERÁTOR</v>
          </cell>
          <cell r="J247" t="str">
            <v xml:space="preserve"> </v>
          </cell>
        </row>
        <row r="248">
          <cell r="A248">
            <v>247</v>
          </cell>
          <cell r="B248" t="str">
            <v>BLOC OPPOSÉ OPÉRATEUR</v>
          </cell>
          <cell r="C248" t="str">
            <v>BLOCK OPPOSITE OERATOR'S SIDE</v>
          </cell>
          <cell r="D248" t="str">
            <v>BLOK NAPRZECIW OPERATORA</v>
          </cell>
          <cell r="E248" t="str">
            <v>BLOC OPUS LOCULUI OPERATORULUI</v>
          </cell>
          <cell r="F248" t="str">
            <v>BLOQUE LADO OPUESTO OPERARIO</v>
          </cell>
          <cell r="G248" t="str">
            <v>BLOCO LADO OPOSTO AO OPERADOR</v>
          </cell>
          <cell r="H248" t="str">
            <v>TÖMB AZ OP. ELLEN OLDALON</v>
          </cell>
          <cell r="I248" t="str">
            <v>BLOK OPROTI OPERÁTOROVI</v>
          </cell>
          <cell r="J248" t="str">
            <v xml:space="preserve"> </v>
          </cell>
        </row>
        <row r="249">
          <cell r="A249">
            <v>248</v>
          </cell>
          <cell r="B249" t="str">
            <v>Busette</v>
          </cell>
          <cell r="C249" t="str">
            <v>NOZZLE</v>
          </cell>
          <cell r="D249" t="str">
            <v>DYSZA</v>
          </cell>
          <cell r="E249" t="str">
            <v>DUZA</v>
          </cell>
          <cell r="F249" t="str">
            <v>Obturador</v>
          </cell>
          <cell r="G249" t="str">
            <v>BICO</v>
          </cell>
          <cell r="H249" t="str">
            <v>FÚVÓKA</v>
          </cell>
          <cell r="I249" t="str">
            <v>tryska</v>
          </cell>
          <cell r="J249" t="str">
            <v xml:space="preserve"> </v>
          </cell>
        </row>
        <row r="250">
          <cell r="A250">
            <v>249</v>
          </cell>
          <cell r="B250" t="str">
            <v>Bloc chaud</v>
          </cell>
          <cell r="C250" t="str">
            <v>Hot Runner</v>
          </cell>
          <cell r="D250" t="str">
            <v>Gorących Kanałów</v>
          </cell>
          <cell r="E250" t="str">
            <v>Bloc Cald</v>
          </cell>
          <cell r="F250" t="str">
            <v>Camara Caliente</v>
          </cell>
          <cell r="G250" t="str">
            <v>Canais Quentes</v>
          </cell>
          <cell r="H250" t="str">
            <v>Forró csatorna</v>
          </cell>
          <cell r="I250" t="str">
            <v>Horúceho Vtoku</v>
          </cell>
          <cell r="J250" t="str">
            <v xml:space="preserve"> </v>
          </cell>
        </row>
        <row r="251">
          <cell r="A251">
            <v>250</v>
          </cell>
          <cell r="B251" t="str">
            <v>Nombre de points</v>
          </cell>
          <cell r="C251" t="str">
            <v>Points qty</v>
          </cell>
          <cell r="D251" t="str">
            <v>ilość punktów</v>
          </cell>
          <cell r="E251" t="str">
            <v>Numar de puncte</v>
          </cell>
          <cell r="F251" t="str">
            <v>número de puntos</v>
          </cell>
          <cell r="G251" t="str">
            <v>número de pontos</v>
          </cell>
          <cell r="I251" t="str">
            <v>počet bodov</v>
          </cell>
          <cell r="J251" t="str">
            <v xml:space="preserve"> </v>
          </cell>
        </row>
        <row r="252">
          <cell r="A252">
            <v>251</v>
          </cell>
          <cell r="B252" t="str">
            <v>Nbre de zones</v>
          </cell>
          <cell r="C252" t="str">
            <v>Zone qty</v>
          </cell>
          <cell r="D252" t="str">
            <v>ilość stref</v>
          </cell>
          <cell r="E252" t="str">
            <v>Numar de zone</v>
          </cell>
          <cell r="F252" t="str">
            <v>número de zonas</v>
          </cell>
          <cell r="G252" t="str">
            <v>número de zonas</v>
          </cell>
          <cell r="I252" t="str">
            <v>počet pásiem</v>
          </cell>
          <cell r="J252" t="str">
            <v xml:space="preserve"> </v>
          </cell>
        </row>
        <row r="253">
          <cell r="A253">
            <v>252</v>
          </cell>
          <cell r="J253" t="str">
            <v xml:space="preserve"> </v>
          </cell>
        </row>
        <row r="254">
          <cell r="A254">
            <v>253</v>
          </cell>
          <cell r="B254" t="str">
            <v>REGULATION THERMIQUE DU MOULE</v>
          </cell>
          <cell r="C254" t="str">
            <v>Mould regulation</v>
          </cell>
          <cell r="D254" t="str">
            <v>REGULACJA TERMICZNA FORMY</v>
          </cell>
          <cell r="E254" t="str">
            <v>TERMOSTATAREA MATRITEI</v>
          </cell>
          <cell r="F254" t="str">
            <v>REGULACION TÉRMICA DEL MOLDE</v>
          </cell>
          <cell r="G254" t="str">
            <v>AFINAÇÃO DO SISTEMA DE ARREFECIMENTO DO MOLDE</v>
          </cell>
          <cell r="H254" t="str">
            <v>SZERSZÁM TEMPERÁLÁS</v>
          </cell>
          <cell r="I254" t="str">
            <v>regulácia teploty formy</v>
          </cell>
          <cell r="J254" t="str">
            <v xml:space="preserve"> </v>
          </cell>
        </row>
        <row r="255">
          <cell r="A255">
            <v>254</v>
          </cell>
          <cell r="B255" t="str">
            <v>Haut du moule</v>
          </cell>
          <cell r="C255" t="str">
            <v>Top of mould</v>
          </cell>
          <cell r="D255" t="str">
            <v>Góra formy</v>
          </cell>
          <cell r="E255" t="str">
            <v>Partea superioara a matritei</v>
          </cell>
          <cell r="F255" t="str">
            <v>Alto del molde</v>
          </cell>
          <cell r="G255" t="str">
            <v>Parte de cima do molde  - topo</v>
          </cell>
          <cell r="H255" t="str">
            <v>Szerszám teteje</v>
          </cell>
          <cell r="I255" t="str">
            <v>vrch formy</v>
          </cell>
          <cell r="J255" t="str">
            <v xml:space="preserve"> </v>
          </cell>
        </row>
        <row r="256">
          <cell r="A256">
            <v>255</v>
          </cell>
          <cell r="J256" t="str">
            <v xml:space="preserve"> </v>
          </cell>
        </row>
        <row r="257">
          <cell r="A257">
            <v>256</v>
          </cell>
          <cell r="B257" t="str">
            <v>NOYAU</v>
          </cell>
          <cell r="C257" t="str">
            <v>CORE</v>
          </cell>
          <cell r="D257" t="str">
            <v>STEMPEL</v>
          </cell>
          <cell r="E257" t="str">
            <v>NUCLEU</v>
          </cell>
          <cell r="F257" t="str">
            <v>PUNZON</v>
          </cell>
          <cell r="G257" t="str">
            <v>BUCHA</v>
          </cell>
          <cell r="H257" t="str">
            <v xml:space="preserve"> --&gt; hungarian ?</v>
          </cell>
          <cell r="I257" t="str">
            <v>JADRO</v>
          </cell>
          <cell r="J257" t="str">
            <v xml:space="preserve"> </v>
          </cell>
        </row>
        <row r="258">
          <cell r="A258">
            <v>257</v>
          </cell>
          <cell r="B258" t="str">
            <v>EMPREINTE</v>
          </cell>
          <cell r="C258" t="str">
            <v>CAVITY</v>
          </cell>
          <cell r="D258" t="str">
            <v>MATRYCA</v>
          </cell>
          <cell r="E258" t="str">
            <v>AMPRENTE</v>
          </cell>
          <cell r="F258" t="str">
            <v>CAVIDAD</v>
          </cell>
          <cell r="G258" t="str">
            <v>CAVIDADE</v>
          </cell>
          <cell r="H258" t="str">
            <v>FÉSZEK</v>
          </cell>
          <cell r="I258" t="str">
            <v>NÁSOBNOST</v>
          </cell>
          <cell r="J258" t="str">
            <v xml:space="preserve"> </v>
          </cell>
        </row>
        <row r="259">
          <cell r="A259">
            <v>258</v>
          </cell>
          <cell r="B259" t="str">
            <v>Réseau d'alimentation d'eau</v>
          </cell>
          <cell r="C259" t="str">
            <v>Water Supply System</v>
          </cell>
          <cell r="D259" t="str">
            <v>Sieć</v>
          </cell>
          <cell r="E259" t="str">
            <v>Retea</v>
          </cell>
          <cell r="F259" t="str">
            <v>Red</v>
          </cell>
          <cell r="G259" t="str">
            <v>Rede de abastecimento de água</v>
          </cell>
          <cell r="H259" t="str">
            <v>TÖMBÖSÍTÉS</v>
          </cell>
          <cell r="I259" t="str">
            <v>napojenie vody</v>
          </cell>
          <cell r="J259" t="str">
            <v xml:space="preserve"> </v>
          </cell>
        </row>
        <row r="260">
          <cell r="A260">
            <v>259</v>
          </cell>
          <cell r="B260" t="str">
            <v>Refroidisseur à eau</v>
          </cell>
          <cell r="C260" t="str">
            <v>Cold system</v>
          </cell>
          <cell r="D260" t="str">
            <v>Chłodzenie</v>
          </cell>
          <cell r="E260" t="str">
            <v>Racitor</v>
          </cell>
          <cell r="F260" t="str">
            <v>Sistema de agua fría</v>
          </cell>
          <cell r="G260" t="str">
            <v>Refrigerador a água</v>
          </cell>
          <cell r="H260" t="str">
            <v>HIDEG VÍZ</v>
          </cell>
          <cell r="I260" t="str">
            <v>ochladzovač vody</v>
          </cell>
          <cell r="J260" t="str">
            <v xml:space="preserve"> </v>
          </cell>
        </row>
        <row r="261">
          <cell r="A261">
            <v>260</v>
          </cell>
          <cell r="B261" t="str">
            <v>Réchauffeur à eau</v>
          </cell>
          <cell r="C261" t="str">
            <v>Hot water system</v>
          </cell>
          <cell r="D261" t="str">
            <v>Ogrzewanie</v>
          </cell>
          <cell r="E261" t="str">
            <v>Termostat</v>
          </cell>
          <cell r="F261" t="str">
            <v>Sistema de agua caliente</v>
          </cell>
          <cell r="G261" t="str">
            <v>Termoregulador a água</v>
          </cell>
          <cell r="H261" t="str">
            <v>Temperált víz</v>
          </cell>
          <cell r="I261" t="str">
            <v>ohrievač vody</v>
          </cell>
          <cell r="J261" t="str">
            <v xml:space="preserve"> </v>
          </cell>
        </row>
        <row r="262">
          <cell r="A262">
            <v>261</v>
          </cell>
          <cell r="B262" t="str">
            <v>Réchauffeur à huile</v>
          </cell>
          <cell r="C262" t="str">
            <v>Hot oil system</v>
          </cell>
          <cell r="D262" t="str">
            <v>System goracego oleju</v>
          </cell>
          <cell r="E262" t="str">
            <v>Sistem de ulei fierbinte</v>
          </cell>
          <cell r="F262" t="str">
            <v>Sistema de aceite caliente</v>
          </cell>
          <cell r="G262" t="str">
            <v>Termoregulador a óleo</v>
          </cell>
          <cell r="H262" t="str">
            <v>Meleg olaj rendszer</v>
          </cell>
          <cell r="I262" t="str">
            <v>ohrievač oleja</v>
          </cell>
          <cell r="J262" t="str">
            <v xml:space="preserve"> </v>
          </cell>
        </row>
        <row r="263">
          <cell r="A263">
            <v>262</v>
          </cell>
          <cell r="B263" t="str">
            <v>Température affichée</v>
          </cell>
          <cell r="C263" t="str">
            <v>Temperature displayed</v>
          </cell>
          <cell r="D263" t="str">
            <v>Wskazywana temperatura</v>
          </cell>
          <cell r="E263" t="str">
            <v>Temperatura afisata</v>
          </cell>
          <cell r="F263" t="str">
            <v>Temperatura fijada</v>
          </cell>
          <cell r="G263" t="str">
            <v>Temperatura definida</v>
          </cell>
          <cell r="H263" t="str">
            <v>HŐMÉRSÉKLETE</v>
          </cell>
          <cell r="I263" t="str">
            <v>nastavená teplota</v>
          </cell>
          <cell r="J263" t="str">
            <v xml:space="preserve"> </v>
          </cell>
        </row>
        <row r="264">
          <cell r="A264">
            <v>263</v>
          </cell>
          <cell r="B264" t="str">
            <v>Partie mobile</v>
          </cell>
          <cell r="C264" t="str">
            <v>Moving Part</v>
          </cell>
          <cell r="D264" t="str">
            <v>Część ruchoma</v>
          </cell>
          <cell r="E264" t="str">
            <v>Partea mobila</v>
          </cell>
          <cell r="F264" t="str">
            <v>Parte móbil</v>
          </cell>
          <cell r="G264" t="str">
            <v>Lado móvel</v>
          </cell>
          <cell r="H264" t="str">
            <v>Mozgó oldal</v>
          </cell>
          <cell r="I264" t="str">
            <v>časť pohyblivá</v>
          </cell>
          <cell r="J264" t="str">
            <v xml:space="preserve"> </v>
          </cell>
        </row>
        <row r="265">
          <cell r="A265">
            <v>264</v>
          </cell>
          <cell r="B265" t="str">
            <v>Partie fixe</v>
          </cell>
          <cell r="C265" t="str">
            <v>Fixed Part</v>
          </cell>
          <cell r="D265" t="str">
            <v>Część stała</v>
          </cell>
          <cell r="E265" t="str">
            <v>Partea fixa</v>
          </cell>
          <cell r="F265" t="str">
            <v>Parte fija</v>
          </cell>
          <cell r="G265" t="str">
            <v>Lado fixo</v>
          </cell>
          <cell r="H265" t="str">
            <v>Álló oldal</v>
          </cell>
          <cell r="I265" t="str">
            <v>časť fixná</v>
          </cell>
          <cell r="J265" t="str">
            <v xml:space="preserve"> </v>
          </cell>
        </row>
        <row r="266">
          <cell r="A266">
            <v>265</v>
          </cell>
          <cell r="B266" t="str">
            <v>Pour information, cartographie sur presse n°</v>
          </cell>
          <cell r="C266" t="str">
            <v>For information, mapping on press N°</v>
          </cell>
          <cell r="D266" t="str">
            <v>Dla informacji, kartografia na maszynie nr</v>
          </cell>
          <cell r="E266" t="str">
            <v>Pentru informatii, cartografiati pe presa nr.</v>
          </cell>
          <cell r="F266" t="str">
            <v>Para mas información, planos sobre máquina Nº</v>
          </cell>
          <cell r="G266" t="str">
            <v>Para informação -  layout na máq. nº.</v>
          </cell>
          <cell r="H266" t="str">
            <v>Információként, gépre telepített körök N°</v>
          </cell>
          <cell r="I266" t="str">
            <v>Pre informáciu, kartografia na lise č.</v>
          </cell>
          <cell r="J266" t="str">
            <v xml:space="preserve"> </v>
          </cell>
        </row>
        <row r="267">
          <cell r="A267">
            <v>266</v>
          </cell>
          <cell r="B267" t="str">
            <v>Numéro débimètre</v>
          </cell>
          <cell r="C267" t="str">
            <v xml:space="preserve">Flowmeter number </v>
          </cell>
          <cell r="D267" t="str">
            <v>Numer rotametru</v>
          </cell>
          <cell r="E267" t="str">
            <v>Numar debimetru</v>
          </cell>
          <cell r="F267" t="str">
            <v>Número de caudelímetro</v>
          </cell>
          <cell r="G267" t="str">
            <v>Caudalimetro nº.</v>
          </cell>
          <cell r="H267" t="str">
            <v>Rotaméter száma</v>
          </cell>
          <cell r="I267" t="str">
            <v>číslo prietokomera</v>
          </cell>
          <cell r="J267" t="str">
            <v xml:space="preserve"> </v>
          </cell>
        </row>
        <row r="268">
          <cell r="A268">
            <v>267</v>
          </cell>
          <cell r="B268" t="str">
            <v>Circuits Partie mobile</v>
          </cell>
          <cell r="C268" t="str">
            <v>Regulation circuits for moving part</v>
          </cell>
          <cell r="D268" t="str">
            <v>Obiegi stempla</v>
          </cell>
          <cell r="E268" t="str">
            <v>Circuit Parti Mobile</v>
          </cell>
          <cell r="F268" t="str">
            <v>Circuitos de Regulación sección Móbil</v>
          </cell>
          <cell r="G268" t="str">
            <v>Circuitos do lado móvel</v>
          </cell>
          <cell r="H268" t="str">
            <v>HŰTŐKÖRÖK BEÁLLÍTÁSA A MOZGÓ OLDALON</v>
          </cell>
          <cell r="I268" t="str">
            <v>okruh pohyblivej časti</v>
          </cell>
          <cell r="J268" t="str">
            <v xml:space="preserve"> </v>
          </cell>
        </row>
        <row r="269">
          <cell r="A269">
            <v>268</v>
          </cell>
          <cell r="B269" t="str">
            <v>Circuits Partie fixe</v>
          </cell>
          <cell r="C269" t="str">
            <v xml:space="preserve"> Regulation circuits for fixed part</v>
          </cell>
          <cell r="D269" t="str">
            <v>Obiegi matrycy</v>
          </cell>
          <cell r="E269" t="str">
            <v>Circuit Parti Fixe</v>
          </cell>
          <cell r="F269" t="str">
            <v>Circuitos de Regulación sección fija</v>
          </cell>
          <cell r="G269" t="str">
            <v>Circuitos do lado fixo</v>
          </cell>
          <cell r="H269" t="str">
            <v>HŰTŐKÖRÖK BEÁLLÍTÁSA A MOZGÓ OLDALON</v>
          </cell>
          <cell r="I269" t="str">
            <v>okruh fixnej časti</v>
          </cell>
          <cell r="J269" t="str">
            <v xml:space="preserve"> </v>
          </cell>
        </row>
        <row r="270">
          <cell r="A270">
            <v>269</v>
          </cell>
          <cell r="B270" t="str">
            <v>Branchement des circuits</v>
          </cell>
          <cell r="C270" t="str">
            <v>Connection circuits</v>
          </cell>
          <cell r="D270" t="str">
            <v>Podłączenie obiegów</v>
          </cell>
          <cell r="E270" t="str">
            <v>Bransarea circuitelor</v>
          </cell>
          <cell r="F270" t="str">
            <v>Conexión de circuitos</v>
          </cell>
          <cell r="G270" t="str">
            <v>Ligação dos circuitos</v>
          </cell>
          <cell r="H270" t="str">
            <v>Körök kapcsolódása</v>
          </cell>
          <cell r="I270" t="str">
            <v>zapojenie okruhu</v>
          </cell>
          <cell r="J270" t="str">
            <v xml:space="preserve"> </v>
          </cell>
        </row>
        <row r="271">
          <cell r="A271">
            <v>270</v>
          </cell>
          <cell r="B271" t="str">
            <v>Circuit</v>
          </cell>
          <cell r="C271" t="str">
            <v>Circuit</v>
          </cell>
          <cell r="D271" t="str">
            <v>Obieg</v>
          </cell>
          <cell r="E271" t="str">
            <v>Circuit</v>
          </cell>
          <cell r="F271" t="str">
            <v>Circuito</v>
          </cell>
          <cell r="G271" t="str">
            <v>Circuito</v>
          </cell>
          <cell r="H271" t="str">
            <v>Körök</v>
          </cell>
          <cell r="I271" t="str">
            <v>okruh</v>
          </cell>
          <cell r="J271" t="str">
            <v xml:space="preserve"> </v>
          </cell>
        </row>
        <row r="272">
          <cell r="A272">
            <v>271</v>
          </cell>
          <cell r="B272" t="str">
            <v>IMPLANTATION OPTIMUM DU POSTE</v>
          </cell>
          <cell r="C272" t="str">
            <v>Optimum organization of workstation</v>
          </cell>
          <cell r="D272" t="str">
            <v>ORGANIZACJA OPTYMALNEGO STANOWISKA PRACY</v>
          </cell>
          <cell r="E272" t="str">
            <v>AMPLASAREA OPTIMA A POSTULUI DE LUCRU</v>
          </cell>
          <cell r="F272" t="str">
            <v>IMPLANTACIÓN ÓPTIMA DEL PUESTO DE TRABAJO</v>
          </cell>
          <cell r="G272" t="str">
            <v>LAYOUT DO POSTO</v>
          </cell>
          <cell r="H272" t="str">
            <v>OPTIMÁLIS MUNKAHELY ELRENDEZÉS</v>
          </cell>
          <cell r="I272" t="str">
            <v>OPTIMÁLNA ORGANIZÁCIA PRACOVNEJ STANICE</v>
          </cell>
          <cell r="J272" t="str">
            <v xml:space="preserve"> </v>
          </cell>
        </row>
        <row r="273">
          <cell r="A273">
            <v>272</v>
          </cell>
          <cell r="B273" t="str">
            <v>Schéma ou photo</v>
          </cell>
          <cell r="C273" t="str">
            <v>Diagram or photography</v>
          </cell>
          <cell r="D273" t="str">
            <v>Schemat lub zdjęcie</v>
          </cell>
          <cell r="E273" t="str">
            <v>Schema sau fotografie</v>
          </cell>
          <cell r="F273" t="str">
            <v>Esquema o fotografía</v>
          </cell>
          <cell r="G273" t="str">
            <v>Esquema ou fotografia</v>
          </cell>
          <cell r="H273" t="str">
            <v>Rajz vagy fénykép</v>
          </cell>
          <cell r="I273" t="str">
            <v>schéma alebo fotka</v>
          </cell>
          <cell r="J273" t="str">
            <v xml:space="preserve"> </v>
          </cell>
        </row>
        <row r="274">
          <cell r="A274">
            <v>273</v>
          </cell>
          <cell r="B274" t="str">
            <v>Etuve</v>
          </cell>
          <cell r="C274" t="str">
            <v>Hopper Dryer</v>
          </cell>
          <cell r="D274" t="str">
            <v>Suszarnia</v>
          </cell>
          <cell r="E274" t="str">
            <v xml:space="preserve">Etuvă </v>
          </cell>
          <cell r="F274" t="str">
            <v>Calentador</v>
          </cell>
          <cell r="G274" t="str">
            <v>Estufa</v>
          </cell>
          <cell r="H274" t="str">
            <v xml:space="preserve"> --&gt; hungarian ?</v>
          </cell>
          <cell r="I274" t="str">
            <v>sušička</v>
          </cell>
          <cell r="J274" t="str">
            <v xml:space="preserve"> </v>
          </cell>
        </row>
        <row r="275">
          <cell r="A275">
            <v>274</v>
          </cell>
          <cell r="B275" t="str">
            <v>Insereuse</v>
          </cell>
          <cell r="C275" t="str">
            <v>Insertion machine</v>
          </cell>
          <cell r="D275" t="str">
            <v xml:space="preserve"> --&gt; polish ?</v>
          </cell>
          <cell r="E275" t="str">
            <v xml:space="preserve"> Masina de insertie</v>
          </cell>
          <cell r="F275" t="str">
            <v>Máquina Inserción</v>
          </cell>
          <cell r="G275" t="str">
            <v>Máquina de insertos</v>
          </cell>
          <cell r="H275" t="str">
            <v xml:space="preserve"> --&gt; hungarian ?</v>
          </cell>
          <cell r="I275" t="str">
            <v>vkladač</v>
          </cell>
          <cell r="J275" t="str">
            <v xml:space="preserve"> </v>
          </cell>
        </row>
        <row r="276">
          <cell r="A276">
            <v>275</v>
          </cell>
          <cell r="B276" t="str">
            <v>N° pièce échantillon</v>
          </cell>
          <cell r="C276" t="str">
            <v>Initial sample number</v>
          </cell>
          <cell r="D276" t="str">
            <v>Nr próbki początkowej</v>
          </cell>
          <cell r="E276" t="str">
            <v>Nr. piesa etalon</v>
          </cell>
          <cell r="F276" t="str">
            <v>N° pieza muestra</v>
          </cell>
          <cell r="G276" t="str">
            <v>Amostra inicial nº.</v>
          </cell>
          <cell r="H276" t="str">
            <v>Kezdeti rész száma</v>
          </cell>
          <cell r="I276" t="str">
            <v>číslo vzorového kusa</v>
          </cell>
          <cell r="J276" t="str">
            <v xml:space="preserve"> </v>
          </cell>
        </row>
        <row r="277">
          <cell r="A277">
            <v>276</v>
          </cell>
          <cell r="B277" t="str">
            <v>Nomenclature du matériel périphérique</v>
          </cell>
          <cell r="C277" t="str">
            <v>Designation of peripheral material</v>
          </cell>
          <cell r="D277" t="str">
            <v>Nomenklatura materiału zewnętrznego</v>
          </cell>
          <cell r="E277" t="str">
            <v>Nomenclatura materialului periferic</v>
          </cell>
          <cell r="F277" t="str">
            <v>Nomenclatura del material periférico</v>
          </cell>
          <cell r="G277" t="str">
            <v>Identificação dos equipamentos periféricos</v>
          </cell>
          <cell r="H277" t="str">
            <v>Alkalmazott berendezések</v>
          </cell>
          <cell r="I277" t="str">
            <v>nomenklatúra okrajového materiálu</v>
          </cell>
          <cell r="J277" t="str">
            <v xml:space="preserve"> </v>
          </cell>
        </row>
        <row r="278">
          <cell r="A278">
            <v>277</v>
          </cell>
          <cell r="B278" t="str">
            <v>Produits finis</v>
          </cell>
          <cell r="C278" t="str">
            <v>Finished parts</v>
          </cell>
          <cell r="D278" t="str">
            <v>Wyrób gotowy</v>
          </cell>
          <cell r="E278" t="str">
            <v>Produsului finit</v>
          </cell>
          <cell r="F278" t="str">
            <v>Producto acabado</v>
          </cell>
          <cell r="G278" t="str">
            <v>Produto acabado</v>
          </cell>
          <cell r="H278" t="str">
            <v xml:space="preserve"> --&gt; hungarian ?</v>
          </cell>
          <cell r="I278" t="str">
            <v>finálny produkt</v>
          </cell>
          <cell r="J278" t="str">
            <v xml:space="preserve"> </v>
          </cell>
        </row>
        <row r="279">
          <cell r="A279">
            <v>278</v>
          </cell>
          <cell r="B279" t="str">
            <v>Fiche de réglage INJECTION (type)</v>
          </cell>
          <cell r="C279" t="str">
            <v>Injection Adjustment sheet (Type)</v>
          </cell>
          <cell r="D279" t="str">
            <v xml:space="preserve">KARTA USTAWIEŃ PARAMETRÓW WTRYSKU (Ogólna) </v>
          </cell>
          <cell r="E279" t="str">
            <v>Fisa de  reglaj INJECTIEI (Tip)</v>
          </cell>
          <cell r="F279" t="str">
            <v>FICHA DE REGLAJE INYECCIÓN (TIPO)</v>
          </cell>
          <cell r="G279" t="str">
            <v>Ficha tecnica de INJECÇÃO nº.</v>
          </cell>
          <cell r="H279" t="str">
            <v>TECHNOLÓGIAI LAP (típusonként) : FRÖCCSÖNTÕ</v>
          </cell>
          <cell r="I279" t="str">
            <v>nastevenie VSTREKOVANIA ( typ )</v>
          </cell>
          <cell r="J279" t="str">
            <v xml:space="preserve"> </v>
          </cell>
        </row>
        <row r="280">
          <cell r="A280">
            <v>279</v>
          </cell>
          <cell r="B280" t="str">
            <v>Pour référence</v>
          </cell>
          <cell r="C280" t="str">
            <v>For part number</v>
          </cell>
          <cell r="D280" t="str">
            <v>Dla referencji</v>
          </cell>
          <cell r="E280" t="str">
            <v>Pentru referinta</v>
          </cell>
          <cell r="F280" t="str">
            <v>Para referencia</v>
          </cell>
          <cell r="G280" t="str">
            <v>Por referencia</v>
          </cell>
          <cell r="H280" t="str">
            <v>A part numberhez</v>
          </cell>
          <cell r="I280" t="str">
            <v>pre referenciu</v>
          </cell>
          <cell r="J280" t="str">
            <v xml:space="preserve"> </v>
          </cell>
        </row>
        <row r="281">
          <cell r="A281">
            <v>280</v>
          </cell>
          <cell r="B281" t="str">
            <v>% broyé autorisé</v>
          </cell>
          <cell r="C281" t="str">
            <v>% regrind permitted</v>
          </cell>
          <cell r="D281" t="str">
            <v>% zatwierdzonego przemiału</v>
          </cell>
          <cell r="E281" t="str">
            <v>% macinatura autorizata</v>
          </cell>
          <cell r="F281" t="str">
            <v>% triturado autorizado</v>
          </cell>
          <cell r="G281" t="str">
            <v>% de reciclado autorizada</v>
          </cell>
          <cell r="H281" t="str">
            <v>Engedélyezett darálék mennyiség</v>
          </cell>
          <cell r="I281" t="str">
            <v>% povolených zomletých kusov</v>
          </cell>
          <cell r="J281" t="str">
            <v xml:space="preserve"> </v>
          </cell>
        </row>
        <row r="282">
          <cell r="A282">
            <v>281</v>
          </cell>
          <cell r="B282" t="str">
            <v>Force de verrouillage</v>
          </cell>
          <cell r="C282" t="str">
            <v>Moulding clamping force</v>
          </cell>
          <cell r="D282" t="str">
            <v>Siła ryglowania</v>
          </cell>
          <cell r="E282" t="str">
            <v>Forta de inchidere</v>
          </cell>
          <cell r="F282" t="str">
            <v>Fuerza de cierre</v>
          </cell>
          <cell r="G282" t="str">
            <v>Força de Fecho</v>
          </cell>
          <cell r="H282" t="str">
            <v>Záróerő</v>
          </cell>
          <cell r="I282" t="str">
            <v>Uzav sila</v>
          </cell>
          <cell r="J282" t="str">
            <v xml:space="preserve"> </v>
          </cell>
        </row>
        <row r="283">
          <cell r="A283">
            <v>282</v>
          </cell>
          <cell r="B283" t="str">
            <v>Temps étuvage</v>
          </cell>
          <cell r="C283" t="str">
            <v>Pre drying time</v>
          </cell>
          <cell r="D283" t="str">
            <v>Czas suszenia</v>
          </cell>
          <cell r="E283" t="str">
            <v>Timp uscare</v>
          </cell>
          <cell r="F283" t="str">
            <v>Tiempo de estufado</v>
          </cell>
          <cell r="G283" t="str">
            <v>Tempo de estufagem</v>
          </cell>
          <cell r="H283" t="str">
            <v>Elő szárítási idő</v>
          </cell>
          <cell r="I283" t="str">
            <v>čas sušenia</v>
          </cell>
          <cell r="J283" t="str">
            <v xml:space="preserve"> </v>
          </cell>
        </row>
        <row r="284">
          <cell r="A284">
            <v>283</v>
          </cell>
          <cell r="B284" t="str">
            <v>Température d'étuvage</v>
          </cell>
          <cell r="C284" t="str">
            <v>Pre drying T°C</v>
          </cell>
          <cell r="D284" t="str">
            <v>Temperatura suszenia</v>
          </cell>
          <cell r="E284" t="str">
            <v>Temperatura uscare</v>
          </cell>
          <cell r="F284" t="str">
            <v>Temperatura de estufado</v>
          </cell>
          <cell r="G284" t="str">
            <v>Temperatura de estufagem</v>
          </cell>
          <cell r="H284" t="str">
            <v>Szárítási hőmérséklet</v>
          </cell>
          <cell r="I284" t="str">
            <v>teplota sušenia</v>
          </cell>
          <cell r="J284" t="str">
            <v xml:space="preserve"> </v>
          </cell>
        </row>
        <row r="285">
          <cell r="A285">
            <v>284</v>
          </cell>
          <cell r="B285" t="str">
            <v>Diamètre vis préconisé</v>
          </cell>
          <cell r="C285" t="str">
            <v>Recommended Screw Diameter</v>
          </cell>
          <cell r="D285" t="str">
            <v>Zalecana średnica śruby</v>
          </cell>
          <cell r="E285" t="str">
            <v>Diametru surub preconizat</v>
          </cell>
          <cell r="F285" t="str">
            <v>Diámetro de tornillo preconizado</v>
          </cell>
          <cell r="G285" t="str">
            <v>Diametro de fuso recomendado</v>
          </cell>
          <cell r="H285" t="str">
            <v>átmérő menetes ajánlott</v>
          </cell>
          <cell r="I285" t="str">
            <v>doporučený priemer šneku</v>
          </cell>
          <cell r="J285" t="str">
            <v xml:space="preserve"> </v>
          </cell>
        </row>
        <row r="286">
          <cell r="A286">
            <v>285</v>
          </cell>
          <cell r="B286" t="str">
            <v>Temps de cycle</v>
          </cell>
          <cell r="C286" t="str">
            <v>Cycle time</v>
          </cell>
          <cell r="D286" t="str">
            <v>Czas cyklu</v>
          </cell>
          <cell r="E286" t="str">
            <v>Timp ciclu</v>
          </cell>
          <cell r="F286" t="str">
            <v>Tiempo de ciclo</v>
          </cell>
          <cell r="G286" t="str">
            <v>Tempo de ciclo</v>
          </cell>
          <cell r="H286" t="str">
            <v>Ciklusidő</v>
          </cell>
          <cell r="I286" t="str">
            <v>Čas Cyklu :</v>
          </cell>
          <cell r="J286" t="str">
            <v xml:space="preserve"> </v>
          </cell>
        </row>
        <row r="287">
          <cell r="A287">
            <v>286</v>
          </cell>
          <cell r="B287" t="str">
            <v>Température de masse</v>
          </cell>
          <cell r="C287" t="str">
            <v>Raw material temperature</v>
          </cell>
          <cell r="D287" t="str">
            <v>Temperatura masy</v>
          </cell>
          <cell r="E287" t="str">
            <v>Temperatura de masa</v>
          </cell>
          <cell r="F287" t="str">
            <v>Temperatura del material</v>
          </cell>
          <cell r="G287" t="str">
            <v>Temperatura do material</v>
          </cell>
          <cell r="H287" t="str">
            <v>Olvadáspont</v>
          </cell>
          <cell r="I287" t="str">
            <v>teplota suroviny</v>
          </cell>
          <cell r="J287" t="str">
            <v xml:space="preserve"> </v>
          </cell>
        </row>
        <row r="288">
          <cell r="A288">
            <v>287</v>
          </cell>
          <cell r="B288" t="str">
            <v>Températures cylindres</v>
          </cell>
          <cell r="C288" t="str">
            <v>Cylinder temperature</v>
          </cell>
          <cell r="D288" t="str">
            <v>Temperatury cylindrów</v>
          </cell>
          <cell r="E288" t="str">
            <v xml:space="preserve">Temperatura cilindrului </v>
          </cell>
          <cell r="F288" t="str">
            <v>Temperatura de cilindros</v>
          </cell>
          <cell r="G288" t="str">
            <v>Temperatura do cilindro</v>
          </cell>
          <cell r="H288" t="str">
            <v>Cylinder hőmérséklet</v>
          </cell>
          <cell r="I288" t="str">
            <v>teplota valca</v>
          </cell>
          <cell r="J288" t="str">
            <v xml:space="preserve"> </v>
          </cell>
        </row>
        <row r="289">
          <cell r="A289">
            <v>288</v>
          </cell>
          <cell r="B289" t="str">
            <v>Tolérances T°C du cylindre</v>
          </cell>
          <cell r="C289" t="str">
            <v>Cylinder T°C tolerances</v>
          </cell>
          <cell r="D289" t="str">
            <v>Tolerancje Temperatury cylindra</v>
          </cell>
          <cell r="E289" t="str">
            <v>Tolerantele cilindrului</v>
          </cell>
          <cell r="F289" t="str">
            <v>Tolerancia del cilindro</v>
          </cell>
          <cell r="G289" t="str">
            <v>Tolerância para as temp. do cilindro.</v>
          </cell>
          <cell r="H289" t="str">
            <v>Cylinder hőmérséklet tűrés</v>
          </cell>
          <cell r="I289" t="str">
            <v>tolerancia teploty vo valci</v>
          </cell>
          <cell r="J289" t="str">
            <v xml:space="preserve"> </v>
          </cell>
        </row>
        <row r="290">
          <cell r="A290">
            <v>289</v>
          </cell>
          <cell r="B290" t="str">
            <v>goulotte</v>
          </cell>
          <cell r="C290" t="str">
            <v>Spout</v>
          </cell>
          <cell r="D290" t="str">
            <v>kanał zsypowy</v>
          </cell>
          <cell r="E290" t="str">
            <v>cadere</v>
          </cell>
          <cell r="F290" t="str">
            <v>torba</v>
          </cell>
          <cell r="G290" t="str">
            <v>Torneira</v>
          </cell>
          <cell r="H290" t="str">
            <v>Csúsztatás</v>
          </cell>
          <cell r="I290" t="str">
            <v>prúd</v>
          </cell>
          <cell r="J290" t="str">
            <v xml:space="preserve"> </v>
          </cell>
        </row>
        <row r="291">
          <cell r="A291">
            <v>290</v>
          </cell>
          <cell r="B291" t="str">
            <v>PARAMETRES D'INJECTION</v>
          </cell>
          <cell r="C291" t="str">
            <v>INJECTION PARAMETERS</v>
          </cell>
          <cell r="D291" t="str">
            <v>PARAMETRY WTRYSKU</v>
          </cell>
          <cell r="E291" t="str">
            <v>PARAMETRII INJECTIEI</v>
          </cell>
          <cell r="F291" t="str">
            <v>PARAMETROS DE INYECCIÓN</v>
          </cell>
          <cell r="G291" t="str">
            <v>PARAMETROS DE INJECÇÃO</v>
          </cell>
          <cell r="H291" t="str">
            <v>FRÖCCSPARAMÉTEREK</v>
          </cell>
          <cell r="I291" t="str">
            <v>PARAMETRE VSTREKOVANIA</v>
          </cell>
          <cell r="J291" t="str">
            <v xml:space="preserve"> </v>
          </cell>
        </row>
        <row r="292">
          <cell r="A292">
            <v>291</v>
          </cell>
          <cell r="B292" t="str">
            <v>COMMUTATION</v>
          </cell>
          <cell r="C292" t="str">
            <v>COMMUTATION</v>
          </cell>
          <cell r="D292" t="str">
            <v>Przełączanie</v>
          </cell>
          <cell r="E292" t="str">
            <v>COMUTARE</v>
          </cell>
          <cell r="F292" t="str">
            <v>COMMUTACIÓN</v>
          </cell>
          <cell r="G292" t="str">
            <v>Comutação</v>
          </cell>
          <cell r="H292" t="str">
            <v>KOMMUTÁCIÓ</v>
          </cell>
          <cell r="I292" t="str">
            <v>PREPNUTIA</v>
          </cell>
          <cell r="J292" t="str">
            <v xml:space="preserve"> </v>
          </cell>
        </row>
        <row r="293">
          <cell r="A293">
            <v>292</v>
          </cell>
          <cell r="B293" t="str">
            <v>Course</v>
          </cell>
          <cell r="C293" t="str">
            <v>Course</v>
          </cell>
          <cell r="D293" t="str">
            <v>Bieg</v>
          </cell>
          <cell r="E293" t="str">
            <v>Cursa</v>
          </cell>
          <cell r="F293" t="str">
            <v>Recorrido</v>
          </cell>
          <cell r="G293" t="str">
            <v>Curso</v>
          </cell>
          <cell r="H293" t="str">
            <v>Út</v>
          </cell>
          <cell r="I293" t="str">
            <v>Rozsah</v>
          </cell>
          <cell r="J293" t="str">
            <v xml:space="preserve"> </v>
          </cell>
        </row>
        <row r="294">
          <cell r="A294">
            <v>293</v>
          </cell>
          <cell r="B294" t="str">
            <v>Masque</v>
          </cell>
          <cell r="C294" t="str">
            <v>Mask</v>
          </cell>
          <cell r="D294" t="str">
            <v>Maska</v>
          </cell>
          <cell r="E294" t="str">
            <v>Masca</v>
          </cell>
          <cell r="F294" t="str">
            <v>Mascara</v>
          </cell>
          <cell r="G294" t="str">
            <v>Mascara</v>
          </cell>
          <cell r="H294" t="str">
            <v xml:space="preserve"> --&gt; hungarian ?</v>
          </cell>
          <cell r="I294" t="str">
            <v>maska</v>
          </cell>
          <cell r="J294" t="str">
            <v xml:space="preserve"> </v>
          </cell>
        </row>
        <row r="295">
          <cell r="A295">
            <v>294</v>
          </cell>
          <cell r="B295" t="str">
            <v>Matelas</v>
          </cell>
          <cell r="C295" t="str">
            <v>Cushion</v>
          </cell>
          <cell r="D295" t="str">
            <v>Podsypka</v>
          </cell>
          <cell r="E295" t="str">
            <v>Perna de material</v>
          </cell>
          <cell r="F295" t="str">
            <v>Cojin</v>
          </cell>
          <cell r="G295" t="str">
            <v>Almofada</v>
          </cell>
          <cell r="H295" t="str">
            <v>Anyagpárna</v>
          </cell>
          <cell r="I295" t="str">
            <v>vankúš</v>
          </cell>
          <cell r="J295" t="str">
            <v xml:space="preserve"> </v>
          </cell>
        </row>
        <row r="296">
          <cell r="A296">
            <v>295</v>
          </cell>
          <cell r="B296" t="str">
            <v>Profil de vitesse d'injection</v>
          </cell>
          <cell r="C296" t="str">
            <v>Profile of injection speed</v>
          </cell>
          <cell r="D296" t="str">
            <v>Profil predkości wtrysku</v>
          </cell>
          <cell r="E296" t="str">
            <v>Profilul vitezei de injectare</v>
          </cell>
          <cell r="F296" t="str">
            <v>Perfil velocidad de inyección</v>
          </cell>
          <cell r="G296" t="str">
            <v>Perfil de velocidade injecção</v>
          </cell>
          <cell r="H296" t="str">
            <v xml:space="preserve"> --&gt; hungarian ?</v>
          </cell>
          <cell r="I296" t="str">
            <v>profil rýchlosti vstrekovania</v>
          </cell>
          <cell r="J296" t="str">
            <v xml:space="preserve"> </v>
          </cell>
        </row>
        <row r="297">
          <cell r="A297">
            <v>296</v>
          </cell>
          <cell r="B297" t="str">
            <v>Pression réelle de maintien (Bar)</v>
          </cell>
          <cell r="C297" t="str">
            <v>After pressure real (Bar)</v>
          </cell>
          <cell r="D297" t="str">
            <v>Cisnienie docisku (bar)</v>
          </cell>
          <cell r="E297" t="str">
            <v>Presiunea reala a mentinerii (bar)</v>
          </cell>
          <cell r="F297" t="str">
            <v>Presión real de mantenimiento (Bar)</v>
          </cell>
          <cell r="G297" t="str">
            <v xml:space="preserve">Segunda pressão - valor real ( Bar) </v>
          </cell>
          <cell r="H297" t="str">
            <v>Után nyomás igazi (Bar)</v>
          </cell>
          <cell r="I297" t="str">
            <v>tlak reálny dodržaný ( Bar )</v>
          </cell>
          <cell r="J297" t="str">
            <v xml:space="preserve"> </v>
          </cell>
        </row>
        <row r="298">
          <cell r="A298">
            <v>297</v>
          </cell>
          <cell r="B298" t="str">
            <v>Pression réelle de maintien (bars)</v>
          </cell>
          <cell r="C298" t="str">
            <v>After pressure real  (bars)</v>
          </cell>
          <cell r="D298" t="str">
            <v>Realne utrzymywane ciśnienie</v>
          </cell>
          <cell r="E298" t="str">
            <v>Presiunea reala a mentinerii</v>
          </cell>
          <cell r="F298" t="str">
            <v>Presión real de mantenimiento</v>
          </cell>
          <cell r="G298" t="str">
            <v xml:space="preserve">Segunda pressão - valor real ( bars) </v>
          </cell>
          <cell r="H298" t="str">
            <v>Után nyomás igazi</v>
          </cell>
          <cell r="I298" t="str">
            <v>tlak reálny dodržaný ( bary )</v>
          </cell>
          <cell r="J298" t="str">
            <v xml:space="preserve"> </v>
          </cell>
        </row>
        <row r="299">
          <cell r="A299">
            <v>298</v>
          </cell>
          <cell r="B299" t="str">
            <v>Temps d'injection</v>
          </cell>
          <cell r="C299" t="str">
            <v>Injection time</v>
          </cell>
          <cell r="D299" t="str">
            <v>Czas wtrysku</v>
          </cell>
          <cell r="E299" t="str">
            <v>Timpul injectiei</v>
          </cell>
          <cell r="F299" t="str">
            <v>Tiempo de inyección</v>
          </cell>
          <cell r="G299" t="str">
            <v>Tempo de injecção</v>
          </cell>
          <cell r="H299" t="str">
            <v>Fröccsöntõ idõ</v>
          </cell>
          <cell r="I299" t="str">
            <v>Čas vstrekovanie</v>
          </cell>
          <cell r="J299" t="str">
            <v xml:space="preserve"> </v>
          </cell>
        </row>
        <row r="300">
          <cell r="A300">
            <v>299</v>
          </cell>
          <cell r="B300" t="str">
            <v>Temps de maintien</v>
          </cell>
          <cell r="C300" t="str">
            <v>After pressure time</v>
          </cell>
          <cell r="D300" t="str">
            <v>Czas utrzymania</v>
          </cell>
          <cell r="E300" t="str">
            <v>Timp de mentinere</v>
          </cell>
          <cell r="F300" t="str">
            <v>Tiempo de mantenimiento</v>
          </cell>
          <cell r="G300" t="str">
            <v>Tempo de segunda pressão</v>
          </cell>
          <cell r="H300" t="str">
            <v>Után nyomás idő</v>
          </cell>
          <cell r="I300" t="str">
            <v>čas dotlaku</v>
          </cell>
          <cell r="J300" t="str">
            <v xml:space="preserve"> </v>
          </cell>
        </row>
        <row r="301">
          <cell r="A301">
            <v>300</v>
          </cell>
          <cell r="B301" t="str">
            <v>Pression réelle d'injection</v>
          </cell>
          <cell r="C301" t="str">
            <v>Real Injection pressure</v>
          </cell>
          <cell r="D301" t="str">
            <v xml:space="preserve">Realne ciśnienie wtrysku </v>
          </cell>
          <cell r="E301" t="str">
            <v>Presiunea reala de injectare</v>
          </cell>
          <cell r="F301" t="str">
            <v>Presión real de inyección</v>
          </cell>
          <cell r="G301" t="str">
            <v>Pressão de injecção - valor real</v>
          </cell>
          <cell r="H301" t="str">
            <v>Real Fröccsöntõ nyomás</v>
          </cell>
          <cell r="I301" t="str">
            <v>reálny tlak vstrekovania</v>
          </cell>
          <cell r="J301" t="str">
            <v xml:space="preserve"> </v>
          </cell>
        </row>
        <row r="302">
          <cell r="A302">
            <v>301</v>
          </cell>
          <cell r="B302" t="str">
            <v>Pression limite d'injection</v>
          </cell>
          <cell r="C302" t="str">
            <v>Injection pressure limit</v>
          </cell>
          <cell r="D302" t="str">
            <v xml:space="preserve">Cisnienie graniczne wtrysku   </v>
          </cell>
          <cell r="E302" t="str">
            <v>Presiunea limita de injectare</v>
          </cell>
          <cell r="F302" t="str">
            <v>Presión limite de inyecciñon</v>
          </cell>
          <cell r="G302" t="str">
            <v>Pressão de injecção limite</v>
          </cell>
          <cell r="H302" t="str">
            <v>Fröccsnyomás limit</v>
          </cell>
          <cell r="I302" t="str">
            <v>hraničný tlak vstrekovania</v>
          </cell>
          <cell r="J302" t="str">
            <v xml:space="preserve"> </v>
          </cell>
        </row>
        <row r="303">
          <cell r="A303">
            <v>302</v>
          </cell>
          <cell r="B303" t="str">
            <v>Tps de refroidissement</v>
          </cell>
          <cell r="C303" t="str">
            <v>Cooling time</v>
          </cell>
          <cell r="D303" t="str">
            <v>Czas chłodzenia</v>
          </cell>
          <cell r="E303" t="str">
            <v>Timp de racire</v>
          </cell>
          <cell r="F303" t="str">
            <v>Tiempo de enfriamiento</v>
          </cell>
          <cell r="G303" t="str">
            <v>Tempo de arrefecimento</v>
          </cell>
          <cell r="H303" t="str">
            <v>Hũtés idó</v>
          </cell>
          <cell r="I303" t="str">
            <v>Čas chladnutia</v>
          </cell>
          <cell r="J303" t="str">
            <v xml:space="preserve"> </v>
          </cell>
        </row>
        <row r="304">
          <cell r="A304">
            <v>303</v>
          </cell>
          <cell r="B304" t="str">
            <v>PLASTIFICATION</v>
          </cell>
          <cell r="C304" t="str">
            <v>PLASTICIZING</v>
          </cell>
          <cell r="D304" t="str">
            <v>PLASTYFIKACJA</v>
          </cell>
          <cell r="E304" t="str">
            <v>PLASTIFICARE</v>
          </cell>
          <cell r="F304" t="str">
            <v>PLASTIFICACIÓN</v>
          </cell>
          <cell r="G304" t="str">
            <v>PASTIFICAÇÃO</v>
          </cell>
          <cell r="H304" t="str">
            <v>PLASZTIFIKÁLÁS</v>
          </cell>
          <cell r="I304" t="str">
            <v>PLASTIFIKÁCIA</v>
          </cell>
          <cell r="J304" t="str">
            <v xml:space="preserve"> </v>
          </cell>
        </row>
        <row r="305">
          <cell r="A305">
            <v>304</v>
          </cell>
          <cell r="B305" t="str">
            <v>Volume injecté</v>
          </cell>
          <cell r="C305" t="str">
            <v>Injected volume</v>
          </cell>
          <cell r="D305" t="str">
            <v>Objętość wtrysku</v>
          </cell>
          <cell r="E305" t="str">
            <v>Volum injectat</v>
          </cell>
          <cell r="F305" t="str">
            <v>Volumen inyectado</v>
          </cell>
          <cell r="G305" t="str">
            <v>Volume injectado</v>
          </cell>
          <cell r="H305" t="str">
            <v>Fröccsöntött anyag mennyiség</v>
          </cell>
          <cell r="I305" t="str">
            <v>vstreknutý objem</v>
          </cell>
          <cell r="J305" t="str">
            <v xml:space="preserve"> </v>
          </cell>
        </row>
        <row r="306">
          <cell r="A306">
            <v>305</v>
          </cell>
          <cell r="B306" t="str">
            <v>Contre pression réelle</v>
          </cell>
          <cell r="C306" t="str">
            <v xml:space="preserve">Real back pressure </v>
          </cell>
          <cell r="D306" t="str">
            <v>Przeciwciśnienie</v>
          </cell>
          <cell r="E306" t="str">
            <v>Contra presiune reala</v>
          </cell>
          <cell r="F306" t="str">
            <v>Contra pressión (real)</v>
          </cell>
          <cell r="G306" t="str">
            <v>Contrapressão - valor real</v>
          </cell>
          <cell r="H306" t="str">
            <v>Torlo nyomás</v>
          </cell>
          <cell r="I306" t="str">
            <v>reálny protitlak</v>
          </cell>
          <cell r="J306" t="str">
            <v xml:space="preserve"> </v>
          </cell>
        </row>
        <row r="307">
          <cell r="A307">
            <v>306</v>
          </cell>
          <cell r="B307" t="str">
            <v>Tps de retard dosage</v>
          </cell>
          <cell r="C307" t="str">
            <v>Dosage delay time</v>
          </cell>
          <cell r="D307" t="str">
            <v>Czas opóźnienia dozowania</v>
          </cell>
          <cell r="E307" t="str">
            <v>Tip de intârziere de dozare</v>
          </cell>
          <cell r="F307" t="str">
            <v>Tiempo de retraso de dosificación</v>
          </cell>
          <cell r="G307" t="str">
            <v>Tempo de atraso na dosagem</v>
          </cell>
          <cell r="H307" t="str">
            <v>Adag késleltetés</v>
          </cell>
          <cell r="I307" t="str">
            <v>čas oneskorenia dávkovania</v>
          </cell>
          <cell r="J307" t="str">
            <v xml:space="preserve"> </v>
          </cell>
        </row>
        <row r="308">
          <cell r="A308">
            <v>307</v>
          </cell>
          <cell r="B308" t="str">
            <v>Temps de dosage</v>
          </cell>
          <cell r="C308" t="str">
            <v>Dosage time</v>
          </cell>
          <cell r="D308" t="str">
            <v>Czas dozowania</v>
          </cell>
          <cell r="E308" t="str">
            <v>Timp de dozare</v>
          </cell>
          <cell r="F308" t="str">
            <v>Tiempo de dosificación</v>
          </cell>
          <cell r="G308" t="str">
            <v>Tempo de dosagem</v>
          </cell>
          <cell r="H308" t="str">
            <v>Adag idő</v>
          </cell>
          <cell r="I308" t="str">
            <v>čas dávkovania</v>
          </cell>
          <cell r="J308" t="str">
            <v xml:space="preserve"> </v>
          </cell>
        </row>
        <row r="309">
          <cell r="A309">
            <v>308</v>
          </cell>
          <cell r="B309" t="str">
            <v>Recul ponton</v>
          </cell>
          <cell r="C309" t="str">
            <v>Injection unit backward</v>
          </cell>
          <cell r="D309" t="str">
            <v>Ruch jednostki wtryskowe</v>
          </cell>
          <cell r="E309" t="str">
            <v>Cursa de recul a diuzei</v>
          </cell>
          <cell r="F309" t="str">
            <v>Retroceso carro inyección</v>
          </cell>
          <cell r="G309" t="str">
            <v>Recuo unidade de injecção</v>
          </cell>
          <cell r="H309" t="str">
            <v>Fröccsöntõ unit backward</v>
          </cell>
          <cell r="I309" t="str">
            <v>vstrekovacia jednotka späť</v>
          </cell>
          <cell r="J309" t="str">
            <v xml:space="preserve"> </v>
          </cell>
        </row>
        <row r="310">
          <cell r="A310">
            <v>309</v>
          </cell>
          <cell r="B310" t="str">
            <v>Décompression</v>
          </cell>
          <cell r="C310" t="str">
            <v>Decompression</v>
          </cell>
          <cell r="D310" t="str">
            <v>Dekompresja</v>
          </cell>
          <cell r="E310" t="str">
            <v>Decompresie</v>
          </cell>
          <cell r="F310" t="str">
            <v>Descompresión</v>
          </cell>
          <cell r="G310" t="str">
            <v>Descompressão</v>
          </cell>
          <cell r="H310" t="str">
            <v>Dekompresszió</v>
          </cell>
          <cell r="I310" t="str">
            <v>dekompresia</v>
          </cell>
          <cell r="J310" t="str">
            <v xml:space="preserve"> </v>
          </cell>
        </row>
        <row r="311">
          <cell r="A311">
            <v>310</v>
          </cell>
          <cell r="B311" t="str">
            <v>Robot</v>
          </cell>
          <cell r="C311" t="str">
            <v>Robot</v>
          </cell>
          <cell r="D311" t="str">
            <v>Robot</v>
          </cell>
          <cell r="E311" t="str">
            <v>Robot</v>
          </cell>
          <cell r="F311" t="str">
            <v>Robot</v>
          </cell>
          <cell r="G311" t="str">
            <v>Robot</v>
          </cell>
          <cell r="H311" t="str">
            <v>Robot</v>
          </cell>
          <cell r="I311" t="str">
            <v>Robot</v>
          </cell>
          <cell r="J311" t="str">
            <v xml:space="preserve"> </v>
          </cell>
        </row>
        <row r="312">
          <cell r="A312">
            <v>311</v>
          </cell>
          <cell r="B312" t="str">
            <v>Paramètres gaz</v>
          </cell>
          <cell r="C312" t="str">
            <v xml:space="preserve">Gaz parameters </v>
          </cell>
          <cell r="D312" t="str">
            <v>Parametry gazu</v>
          </cell>
          <cell r="E312" t="str">
            <v>Parametrii gaze</v>
          </cell>
          <cell r="F312" t="str">
            <v xml:space="preserve">Parametros gas </v>
          </cell>
          <cell r="G312" t="str">
            <v>Parâmetros de gaz</v>
          </cell>
          <cell r="H312" t="str">
            <v>Gazparaméterek</v>
          </cell>
          <cell r="I312" t="str">
            <v>parametre plynu</v>
          </cell>
          <cell r="J312" t="str">
            <v xml:space="preserve"> </v>
          </cell>
        </row>
        <row r="313">
          <cell r="A313">
            <v>312</v>
          </cell>
          <cell r="B313" t="str">
            <v>Paramètres colorateur</v>
          </cell>
          <cell r="C313" t="str">
            <v>Colouring parameters</v>
          </cell>
          <cell r="D313" t="str">
            <v>Parametry koloratora</v>
          </cell>
          <cell r="E313" t="str">
            <v>Parametrii colorator</v>
          </cell>
          <cell r="F313" t="str">
            <v>Parametros colorante</v>
          </cell>
          <cell r="G313" t="str">
            <v>Parametros do doseador</v>
          </cell>
          <cell r="H313" t="str">
            <v>Színezöparameterek</v>
          </cell>
          <cell r="I313" t="str">
            <v>parametre farbiva</v>
          </cell>
          <cell r="J313" t="str">
            <v xml:space="preserve"> </v>
          </cell>
        </row>
        <row r="314">
          <cell r="A314">
            <v>313</v>
          </cell>
          <cell r="B314" t="str">
            <v>Paliers</v>
          </cell>
          <cell r="C314" t="str">
            <v>Steps</v>
          </cell>
          <cell r="D314" t="str">
            <v>Skala</v>
          </cell>
          <cell r="E314" t="str">
            <v>Paliers</v>
          </cell>
          <cell r="F314" t="str">
            <v>Escalón</v>
          </cell>
          <cell r="G314" t="str">
            <v>Niveis</v>
          </cell>
          <cell r="H314" t="str">
            <v>Lépés</v>
          </cell>
          <cell r="I314" t="str">
            <v>kroky</v>
          </cell>
          <cell r="J314" t="str">
            <v xml:space="preserve"> </v>
          </cell>
        </row>
        <row r="315">
          <cell r="A315">
            <v>314</v>
          </cell>
          <cell r="B315" t="str">
            <v>Vitesse (%)</v>
          </cell>
          <cell r="C315" t="str">
            <v>Speed (%)</v>
          </cell>
          <cell r="D315" t="str">
            <v>Prędkość (%)</v>
          </cell>
          <cell r="E315" t="str">
            <v>Viteza (%)</v>
          </cell>
          <cell r="F315" t="str">
            <v>Velocidad (%)</v>
          </cell>
          <cell r="G315" t="str">
            <v>Velocidade (%)</v>
          </cell>
          <cell r="H315" t="str">
            <v>Sebesség (%)</v>
          </cell>
          <cell r="I315" t="str">
            <v>Rýchlosť (%)</v>
          </cell>
          <cell r="J315" t="str">
            <v xml:space="preserve"> </v>
          </cell>
        </row>
        <row r="316">
          <cell r="A316">
            <v>315</v>
          </cell>
          <cell r="B316" t="str">
            <v>GI498-11 Préconisations T°C étuvage</v>
          </cell>
          <cell r="C316" t="str">
            <v>GI498-11 Recommandation Drying T°C</v>
          </cell>
          <cell r="D316" t="str">
            <v>GI498-11 Recommandation Drying T°C</v>
          </cell>
          <cell r="E316" t="str">
            <v>GI498-11 Recommandation Drying T°C</v>
          </cell>
          <cell r="F316" t="str">
            <v>GI498-11 Recommandation Drying T°C</v>
          </cell>
          <cell r="G316" t="str">
            <v>GI498-11 Temp. de estufagem recomendada T°C</v>
          </cell>
          <cell r="H316" t="str">
            <v>GI498-11 Recommandation Drying T°C</v>
          </cell>
          <cell r="I316" t="str">
            <v>GI498-11 doporučenie T°C sušenia</v>
          </cell>
          <cell r="J316" t="str">
            <v xml:space="preserve"> </v>
          </cell>
        </row>
        <row r="317">
          <cell r="A317">
            <v>316</v>
          </cell>
          <cell r="B317" t="str">
            <v>POLYVALENCE MACHINES / METHODES DE REGLAGE PERIPHERIQUES</v>
          </cell>
          <cell r="C317" t="str">
            <v>Production means versability / adjustment method for specific machine</v>
          </cell>
          <cell r="D317" t="str">
            <v>POLIWALENCJA MASZYNY / METODY REGULACJI URZĄDZEŃ PERYFERYJNYCH</v>
          </cell>
          <cell r="E317" t="str">
            <v>POLIVALENTA PRESE / METODE DE REGLARE A MASINILOR PERIFERICE</v>
          </cell>
          <cell r="F317" t="str">
            <v>POLIVALENCIA MÁQUINARIA / MÉTODOS DE AJUSTE DE PERIFÉRICA</v>
          </cell>
          <cell r="G317" t="str">
            <v>POLIVALENCIA MÁQUINAS / METODOS DE AFINAÇÃO DE PERIFÉRICOS</v>
          </cell>
          <cell r="H317" t="str">
            <v>HIDRAULIKUS MAGOK SZABÁLYZÁSA</v>
          </cell>
          <cell r="I317" t="str">
            <v>POLYVALENCIA STROJOV / METÓDY NASTAVENIA PRÍDAVNÝCH ZARIADENÍ</v>
          </cell>
          <cell r="J317" t="str">
            <v xml:space="preserve"> </v>
          </cell>
        </row>
        <row r="318">
          <cell r="A318">
            <v>317</v>
          </cell>
          <cell r="B318" t="str">
            <v>Polyvalence Presses</v>
          </cell>
          <cell r="C318" t="str">
            <v>Press versatility</v>
          </cell>
          <cell r="D318" t="str">
            <v>Możliwość montażu</v>
          </cell>
          <cell r="E318" t="str">
            <v>Polivalenta Prese</v>
          </cell>
          <cell r="F318" t="str">
            <v>Polivalencia de Prensas</v>
          </cell>
          <cell r="G318" t="str">
            <v>Polivalencia máquina de injecção</v>
          </cell>
          <cell r="H318" t="str">
            <v>Fröccsöntő gép lehetséges variációi</v>
          </cell>
          <cell r="I318" t="str">
            <v>polyvalencia lisov</v>
          </cell>
          <cell r="J318" t="str">
            <v xml:space="preserve"> </v>
          </cell>
        </row>
        <row r="319">
          <cell r="A319">
            <v>318</v>
          </cell>
          <cell r="B319" t="str">
            <v>Numéro Presse</v>
          </cell>
          <cell r="C319" t="str">
            <v>Press number</v>
          </cell>
          <cell r="D319" t="str">
            <v>Numer maszyny</v>
          </cell>
          <cell r="E319" t="str">
            <v>Numar Presa</v>
          </cell>
          <cell r="F319" t="str">
            <v>Número de Prensa</v>
          </cell>
          <cell r="G319" t="str">
            <v>Máquina nº.</v>
          </cell>
          <cell r="H319" t="str">
            <v>Gép száma</v>
          </cell>
          <cell r="I319" t="str">
            <v>Číslo Lis</v>
          </cell>
          <cell r="J319" t="str">
            <v xml:space="preserve"> </v>
          </cell>
        </row>
        <row r="320">
          <cell r="A320">
            <v>319</v>
          </cell>
          <cell r="B320" t="str">
            <v>Montabilité théorique</v>
          </cell>
          <cell r="C320" t="str">
            <v>Effectivity theoretical</v>
          </cell>
          <cell r="D320" t="str">
            <v>Montowalność teoretyczna</v>
          </cell>
          <cell r="E320" t="str">
            <v>Montabilitate</v>
          </cell>
          <cell r="F320" t="str">
            <v>Montaje Teórico</v>
          </cell>
          <cell r="G320" t="str">
            <v>Montagem possivel</v>
          </cell>
          <cell r="H320" t="str">
            <v xml:space="preserve"> --&gt; hungarian ?</v>
          </cell>
          <cell r="I320" t="str">
            <v>montabilita teoretická</v>
          </cell>
          <cell r="J320" t="str">
            <v xml:space="preserve"> </v>
          </cell>
        </row>
        <row r="321">
          <cell r="A321">
            <v>320</v>
          </cell>
          <cell r="B321" t="str">
            <v>Moule déjà monté</v>
          </cell>
          <cell r="C321" t="str">
            <v>mould mounted before</v>
          </cell>
          <cell r="D321" t="str">
            <v>Forma już zamontowana</v>
          </cell>
          <cell r="E321" t="str">
            <v>Matrita deja montata</v>
          </cell>
          <cell r="F321" t="str">
            <v>Molde ya Montado</v>
          </cell>
          <cell r="G321" t="str">
            <v>Molde já montado</v>
          </cell>
          <cell r="H321" t="str">
            <v xml:space="preserve"> --&gt; hungarian ?</v>
          </cell>
          <cell r="I321" t="str">
            <v>forma už namontovaná</v>
          </cell>
          <cell r="J321" t="str">
            <v xml:space="preserve"> </v>
          </cell>
        </row>
        <row r="322">
          <cell r="A322">
            <v>321</v>
          </cell>
          <cell r="B322" t="str">
            <v xml:space="preserve">METHODES DE REGLAGE DES MACHINES PERIPHERIQUES ET CINEMATIQUES OUTILLAGE </v>
          </cell>
          <cell r="C322" t="str">
            <v xml:space="preserve"> ADJUSTMENT METHOD OF SPECIFIC MACHINE AND MOULD KINEMATICS</v>
          </cell>
          <cell r="D322" t="str">
            <v>METODY REGULACJI MASZYN ZEWNĘTRZNYCH ORAZ KINEMATYKA NARZĘDZI</v>
          </cell>
          <cell r="E322" t="str">
            <v>METODE DE REGLAJ A MASINILOR PERIFERICE  SI CINEMATICE UTILAJ</v>
          </cell>
          <cell r="F322" t="str">
            <v>MÉTODOS DE AJUSTE DE MAQUINARIA PERIFÉRICA Y CINEMÁTICA DE UTILLAJE</v>
          </cell>
          <cell r="G322" t="str">
            <v xml:space="preserve">MÉTODOS DE AFINAÇÃO DAS MÁQUINAS PERIFÉRICAS, CINEMÁTICA DE MOLDES </v>
          </cell>
          <cell r="H322" t="str">
            <v xml:space="preserve"> --&gt; hungarian ?</v>
          </cell>
          <cell r="I322" t="str">
            <v>METÓDY NASTEVNIA STROJOV PRÍDAVNÝCH A POHYBLIVÉHO NÁRIADIA</v>
          </cell>
          <cell r="J322" t="str">
            <v xml:space="preserve"> </v>
          </cell>
        </row>
        <row r="323">
          <cell r="A323">
            <v>322</v>
          </cell>
          <cell r="J323" t="str">
            <v xml:space="preserve"> </v>
          </cell>
        </row>
        <row r="324">
          <cell r="A324">
            <v>323</v>
          </cell>
          <cell r="B324" t="str">
            <v>MODE OPERATOIRE ET SCHEMA OPERATOIRE D'AUTO-CONTRÔLE</v>
          </cell>
          <cell r="C324" t="str">
            <v>Working and control instruction and Control drawing for operator</v>
          </cell>
          <cell r="D324" t="str">
            <v>TRYB PRACY I SCHEMAT TRYBU ORAZ SAMOKONTROLA</v>
          </cell>
          <cell r="E324" t="str">
            <v>MOD DE LUCRU SI SCHEMA DE LUCRU SI AUTOCONTROL</v>
          </cell>
          <cell r="F324" t="str">
            <v>MODO OPERATIVO Y ESQUEMA OPERATIVO DE AUTO-CONTROL</v>
          </cell>
          <cell r="G324" t="str">
            <v>MÉTODO DE TRABALHO E CONTROLO.</v>
          </cell>
          <cell r="H324" t="str">
            <v>MUNKA ÉS ELLENŐRZÉSI UTASÍTÁS ÉS ELLENŐRZÉSI RAJZ AZ OPERÁTORNAK</v>
          </cell>
          <cell r="I324" t="str">
            <v>POSTUP PRÁCE A SCHÉMA AUTOKONTROLY</v>
          </cell>
          <cell r="J324" t="str">
            <v xml:space="preserve"> </v>
          </cell>
        </row>
        <row r="325">
          <cell r="A325">
            <v>324</v>
          </cell>
          <cell r="B325" t="str">
            <v>Op</v>
          </cell>
          <cell r="C325" t="str">
            <v>Op</v>
          </cell>
          <cell r="D325" t="str">
            <v>Op</v>
          </cell>
          <cell r="E325" t="str">
            <v>Op</v>
          </cell>
          <cell r="F325" t="str">
            <v>Op</v>
          </cell>
          <cell r="G325" t="str">
            <v>Op.</v>
          </cell>
          <cell r="H325" t="str">
            <v>Op</v>
          </cell>
          <cell r="I325" t="str">
            <v>Op</v>
          </cell>
          <cell r="J325" t="str">
            <v xml:space="preserve"> </v>
          </cell>
        </row>
        <row r="326">
          <cell r="A326">
            <v>325</v>
          </cell>
          <cell r="B326" t="str">
            <v>Freq.</v>
          </cell>
          <cell r="C326" t="str">
            <v>Freq.</v>
          </cell>
          <cell r="D326" t="str">
            <v>Często.</v>
          </cell>
          <cell r="E326" t="str">
            <v>Frecv.</v>
          </cell>
          <cell r="F326" t="str">
            <v>Frec.</v>
          </cell>
          <cell r="G326" t="str">
            <v>Frequência</v>
          </cell>
          <cell r="H326" t="str">
            <v>Gyakor.</v>
          </cell>
          <cell r="I326" t="str">
            <v>frekvencia</v>
          </cell>
          <cell r="J326" t="str">
            <v xml:space="preserve"> </v>
          </cell>
        </row>
        <row r="327">
          <cell r="A327">
            <v>326</v>
          </cell>
          <cell r="B327" t="str">
            <v>MODE OPERATOIRE DETAILLE</v>
          </cell>
          <cell r="C327" t="str">
            <v>WORKING INSTRUCTION DETAILED</v>
          </cell>
          <cell r="D327" t="str">
            <v>SZCZEGÓŁOWA INSTRUKCJA OBSŁUGI</v>
          </cell>
          <cell r="E327" t="str">
            <v>MOD DE LUCRU DETALIAT</v>
          </cell>
          <cell r="F327" t="str">
            <v>MODO OPERATIVO DETALLADO</v>
          </cell>
          <cell r="G327" t="str">
            <v>MODO OPERATÓRIO DETALHADO</v>
          </cell>
          <cell r="H327" t="str">
            <v>RÉSZLETES MUNKAUTASÍTÁS</v>
          </cell>
          <cell r="I327" t="str">
            <v>DETAILNÝ POSTUP PRÁCE</v>
          </cell>
          <cell r="J327" t="str">
            <v xml:space="preserve"> </v>
          </cell>
        </row>
        <row r="328">
          <cell r="A328">
            <v>327</v>
          </cell>
          <cell r="B328" t="str">
            <v>EN CAS DE PROBLÈME :</v>
          </cell>
          <cell r="C328" t="str">
            <v>IN CASE OF PROBLEM :</v>
          </cell>
          <cell r="D328" t="str">
            <v>W RAZIE PROBLEMÓW ZAWIADOMIĆ :</v>
          </cell>
          <cell r="E328" t="str">
            <v>IN CAZ DE PROBLEME :</v>
          </cell>
          <cell r="F328" t="str">
            <v>EN CASO DE PROBLEMAS :</v>
          </cell>
          <cell r="G328" t="str">
            <v>REACÇÃO EM CASO DE PROBLÉMA:</v>
          </cell>
          <cell r="H328" t="str">
            <v>PROBLÉMA ESETÉN</v>
          </cell>
          <cell r="I328" t="str">
            <v>V PRÍPADE PROBLÉMU</v>
          </cell>
          <cell r="J328" t="str">
            <v xml:space="preserve"> </v>
          </cell>
        </row>
        <row r="329">
          <cell r="A329">
            <v>328</v>
          </cell>
          <cell r="B329" t="str">
            <v xml:space="preserve">ALERTER LE REGLEUR / RESPONSABLE DE ZONE </v>
          </cell>
          <cell r="C329" t="str">
            <v>ALERT SETTER / AREA MANAGER</v>
          </cell>
          <cell r="D329" t="str">
            <v xml:space="preserve">ZAWIADOMIĆ USTAWIACZA , LIDERA, BRYGADZISTĘ </v>
          </cell>
          <cell r="E329" t="str">
            <v>ALERTATI REGLOUL/ SEFUL DE ECHIPA</v>
          </cell>
          <cell r="F329" t="str">
            <v>AVISAR AL SUPERVISOR / RESPONSABLE DE ZONA</v>
          </cell>
          <cell r="G329" t="str">
            <v>ALERTAR TECNICO INJECÇÃO/ GESTROR DE EQUIPE.</v>
          </cell>
          <cell r="H329" t="str">
            <v>GÉPBEÁLLÍTÓ / CSOPORTVEZETŐ RIASZTÁSA</v>
          </cell>
          <cell r="I329" t="str">
            <v>UPOZORNENIE NASTAVOVAČOV / ZODPOVEDNÝ ZA ZÓNU</v>
          </cell>
          <cell r="J329" t="str">
            <v xml:space="preserve"> </v>
          </cell>
        </row>
        <row r="330">
          <cell r="A330">
            <v>329</v>
          </cell>
          <cell r="B330" t="str">
            <v xml:space="preserve">FAIRE ISOLER ET IDENTIFIER LE LOT DOUTEUX POUR DÉCISION  </v>
          </cell>
          <cell r="C330" t="str">
            <v>SEPARATE AND IDENTIFY UNCERTAIN BATCH TO DECISION</v>
          </cell>
          <cell r="D330" t="str">
            <v xml:space="preserve">ODIZOLOWAC I ZIDENTYFIKOWAC NIEPEWNĄ PARTIĘ PRODUKCYJNA W CELU PODJĘCIA DECYZJI  </v>
          </cell>
          <cell r="E330" t="str">
            <v>IZOLATI SI IDENTIFICATI LOTUL DE PIESE SI ASTEPTATI PENTRU DECIZIA</v>
          </cell>
          <cell r="F330" t="str">
            <v>HACER SEPARAR E IDENTIFICAR EL LOTE DUDOSO PARA SU DECISIÓN</v>
          </cell>
          <cell r="G330" t="str">
            <v>SEPARAR E IDENTIFICAR LOTE SUSPEITO PARA POSTERIOR DECISÃO.</v>
          </cell>
          <cell r="H330" t="str">
            <v xml:space="preserve">AZONOSÍTANI ÉS ELKÜLÖNÍTENI A KÉTSÉGES TÉTELT A DÖNTÉSIG </v>
          </cell>
          <cell r="I330" t="str">
            <v>ODDELIŤ A IDENTIFIKOVAŤ PODOZRIVÉ LOT AŽ KÝM SA NEROZHODNE</v>
          </cell>
          <cell r="J330" t="str">
            <v xml:space="preserve"> </v>
          </cell>
        </row>
        <row r="331">
          <cell r="A331">
            <v>330</v>
          </cell>
          <cell r="B331" t="str">
            <v>PHRASES TYPES</v>
          </cell>
          <cell r="C331" t="str">
            <v>EXAMPLE SENTENCES</v>
          </cell>
          <cell r="D331" t="str">
            <v>PRZYKŁADOWE ZDANIA</v>
          </cell>
          <cell r="E331" t="str">
            <v>FRAZĂ MODEL</v>
          </cell>
          <cell r="F331" t="str">
            <v>FRASES TIPO</v>
          </cell>
          <cell r="G331" t="str">
            <v>OPERAÇÕES TIPO</v>
          </cell>
          <cell r="H331" t="str">
            <v>FRÁZIS TÍPUSA</v>
          </cell>
          <cell r="I331" t="str">
            <v>FRÁZY TYPU</v>
          </cell>
          <cell r="J331" t="str">
            <v xml:space="preserve"> </v>
          </cell>
        </row>
        <row r="332">
          <cell r="A332">
            <v>331</v>
          </cell>
          <cell r="B332" t="str">
            <v xml:space="preserve">Prendre la pièce moulée </v>
          </cell>
          <cell r="C332" t="str">
            <v>Take the moulding part</v>
          </cell>
          <cell r="D332" t="str">
            <v>WZIĄĆ ODLANY DETAL</v>
          </cell>
          <cell r="E332" t="str">
            <v>Se ia piesa injectata</v>
          </cell>
          <cell r="F332" t="str">
            <v>COGER LA PIEZA INYECTADA</v>
          </cell>
          <cell r="G332" t="str">
            <v>Pegar na peça injectada</v>
          </cell>
          <cell r="H332" t="str">
            <v xml:space="preserve"> --&gt; hungarian ?</v>
          </cell>
          <cell r="I332" t="str">
            <v>zobrať vylisovaný kus</v>
          </cell>
          <cell r="J332" t="str">
            <v xml:space="preserve"> </v>
          </cell>
        </row>
        <row r="333">
          <cell r="A333">
            <v>332</v>
          </cell>
          <cell r="B333" t="str">
            <v xml:space="preserve">Araser le point d'injection </v>
          </cell>
          <cell r="C333" t="str">
            <v xml:space="preserve">Cut the injection point </v>
          </cell>
          <cell r="D333" t="str">
            <v>WYRÓWNAĆ PUNKT WTRYSKU</v>
          </cell>
          <cell r="E333" t="str">
            <v>Se taie punctul de injectie</v>
          </cell>
          <cell r="F333" t="str">
            <v>CORTAR PUNTO DE INYECCIÓN</v>
          </cell>
          <cell r="G333" t="str">
            <v>Cortar o ponto de injecção</v>
          </cell>
          <cell r="H333" t="str">
            <v xml:space="preserve"> --&gt; hungarian ?</v>
          </cell>
          <cell r="I333" t="str">
            <v>vytrhnúť vylisovaný kus</v>
          </cell>
          <cell r="J333" t="str">
            <v xml:space="preserve"> </v>
          </cell>
        </row>
        <row r="334">
          <cell r="A334">
            <v>333</v>
          </cell>
          <cell r="B334" t="str">
            <v>Manipuler les pièces avec des gants</v>
          </cell>
          <cell r="C334" t="str">
            <v>Take the parts with gloves</v>
          </cell>
          <cell r="D334" t="str">
            <v>MANIPULACJA DETALU W RĘKAWICZKACH OCHRONNYCH</v>
          </cell>
          <cell r="E334" t="str">
            <v>Se manipuleaza piesele cu manusi</v>
          </cell>
          <cell r="F334" t="str">
            <v>MANIPULAR LA PIEZA CON GUANTES</v>
          </cell>
          <cell r="G334" t="str">
            <v>Manipular a peça com luvas</v>
          </cell>
          <cell r="H334" t="str">
            <v xml:space="preserve"> --&gt; hungarian ?</v>
          </cell>
          <cell r="I334" t="str">
            <v>manipulovať s kusmi v rukaviciach</v>
          </cell>
          <cell r="J334" t="str">
            <v xml:space="preserve"> </v>
          </cell>
        </row>
        <row r="335">
          <cell r="A335">
            <v>334</v>
          </cell>
          <cell r="B335" t="str">
            <v>Controler la pièce ( PORT DE GANTS OBLIGATOIRE )</v>
          </cell>
          <cell r="C335" t="str">
            <v>Inspect the part ( OBLIGATORY WEARING OF GLOVES)</v>
          </cell>
          <cell r="D335" t="str">
            <v>SKONTROLOWAĆ DETAL. ( OBOWIĄZKOWE UŻYCIE RĘKAWIC )</v>
          </cell>
          <cell r="E335" t="str">
            <v>Controlati piesa( purtarea manusilor e obligatorie)</v>
          </cell>
          <cell r="F335" t="str">
            <v>CONTROLAR LA PIEZA ( OBLIGATORIO LLEVAR GUANTES)</v>
          </cell>
          <cell r="G335" t="str">
            <v>Controlara peça ( USO DE LUVAS OBRIGATÓRIO)</v>
          </cell>
          <cell r="H335" t="str">
            <v xml:space="preserve"> --&gt; hungarian ?</v>
          </cell>
          <cell r="I335" t="str">
            <v>kontrolovať kus ( nosenie rukavíc povinné )</v>
          </cell>
          <cell r="J335" t="str">
            <v xml:space="preserve"> </v>
          </cell>
        </row>
        <row r="336">
          <cell r="A336">
            <v>335</v>
          </cell>
          <cell r="B336" t="str">
            <v>Vérifier l'aspect de la pièce</v>
          </cell>
          <cell r="C336" t="str">
            <v>Check esthetic of the part</v>
          </cell>
          <cell r="D336" t="str">
            <v>SPRAWDZIĆ WYGLĄD DETALU :</v>
          </cell>
          <cell r="E336" t="str">
            <v>Verificati aspectul piesei</v>
          </cell>
          <cell r="F336" t="str">
            <v>Verificar el aspecto de la pieza</v>
          </cell>
          <cell r="G336" t="str">
            <v>Controlar as zonas visiveis</v>
          </cell>
          <cell r="H336" t="str">
            <v>Minden part esthetic</v>
          </cell>
          <cell r="I336" t="str">
            <v>overiť aspekt kusa</v>
          </cell>
          <cell r="J336" t="str">
            <v xml:space="preserve"> </v>
          </cell>
        </row>
        <row r="337">
          <cell r="A337">
            <v>336</v>
          </cell>
          <cell r="B337" t="str">
            <v>Pas de</v>
          </cell>
          <cell r="C337" t="str">
            <v>not</v>
          </cell>
          <cell r="D337" t="str">
            <v>nie może być:</v>
          </cell>
          <cell r="E337" t="str">
            <v>Fara</v>
          </cell>
          <cell r="F337" t="str">
            <v>No de</v>
          </cell>
          <cell r="G337" t="str">
            <v>não</v>
          </cell>
          <cell r="H337" t="str">
            <v xml:space="preserve"> --&gt; hungarian ?</v>
          </cell>
          <cell r="I337" t="str">
            <v>nie</v>
          </cell>
          <cell r="J337" t="str">
            <v xml:space="preserve"> </v>
          </cell>
        </row>
        <row r="338">
          <cell r="A338">
            <v>337</v>
          </cell>
          <cell r="B338" t="str">
            <v>Incomplet</v>
          </cell>
          <cell r="C338" t="str">
            <v>Missing material</v>
          </cell>
          <cell r="D338" t="str">
            <v>NIEKOMPLETNY</v>
          </cell>
          <cell r="E338" t="str">
            <v>Incomplet</v>
          </cell>
          <cell r="F338" t="str">
            <v>Faltas de material</v>
          </cell>
          <cell r="G338" t="str">
            <v>Falta de material</v>
          </cell>
          <cell r="H338" t="str">
            <v xml:space="preserve"> --&gt; hungarian ?</v>
          </cell>
          <cell r="I338" t="str">
            <v>nekompletný</v>
          </cell>
          <cell r="J338" t="str">
            <v xml:space="preserve"> </v>
          </cell>
        </row>
        <row r="339">
          <cell r="A339">
            <v>338</v>
          </cell>
          <cell r="B339" t="str">
            <v xml:space="preserve">Retassures en face des futs de vissage en zone visible </v>
          </cell>
          <cell r="C339" t="str">
            <v>SHRINK PIPES OPPOSITE THE FUTS OF SCREWING IN VISIBLE ZONE</v>
          </cell>
          <cell r="D339" t="str">
            <v xml:space="preserve">WGNIECEŃ NA POWIERZCHNI WIZUALNEJ DETALU </v>
          </cell>
          <cell r="E339" t="str">
            <v>Retasuri in fata pionilor de insurubare</v>
          </cell>
          <cell r="F339" t="str">
            <v>Rechupes</v>
          </cell>
          <cell r="G339" t="str">
            <v>Chupados nas areas com clipes na zona visivel.</v>
          </cell>
          <cell r="H339" t="str">
            <v xml:space="preserve"> --&gt; hungarian ?</v>
          </cell>
          <cell r="I339" t="str">
            <v>priehlbenina na strane rebra v zóne viditeľnej</v>
          </cell>
          <cell r="J339" t="str">
            <v xml:space="preserve"> </v>
          </cell>
        </row>
        <row r="340">
          <cell r="A340">
            <v>339</v>
          </cell>
          <cell r="B340" t="str">
            <v xml:space="preserve">Lignes de soudure trop prononcées (voir pièce echantillon) </v>
          </cell>
          <cell r="C340" t="str">
            <v>Soldered joint too pronounced (see Initial sample)</v>
          </cell>
          <cell r="D340" t="str">
            <v>ZBYT WIDOCZNYCH LINII ŁĄCZENIA (PATRZ WZORZEC PROBKI POCZĄTKOWEJ)</v>
          </cell>
          <cell r="E340" t="str">
            <v>linii de sudare prea evidente (vezi piesa etalon)</v>
          </cell>
          <cell r="F340" t="str">
            <v>Linias de unión no se marquen (según la pieza de muestra)</v>
          </cell>
          <cell r="G340" t="str">
            <v>linhas de soldadura muito visiveis ( ver peça tipo)</v>
          </cell>
          <cell r="H340" t="str">
            <v xml:space="preserve"> --&gt; hungarian ?</v>
          </cell>
          <cell r="I340" t="str">
            <v>linka zvaru veľmi výrazná ( pozri vzorový kus )</v>
          </cell>
          <cell r="J340" t="str">
            <v xml:space="preserve"> </v>
          </cell>
        </row>
        <row r="341">
          <cell r="A341">
            <v>340</v>
          </cell>
          <cell r="B341" t="str">
            <v>Rayures</v>
          </cell>
          <cell r="C341" t="str">
            <v>scratches</v>
          </cell>
          <cell r="D341" t="str">
            <v>ZADRAPAŃ</v>
          </cell>
          <cell r="E341" t="str">
            <v>Zgarieturi</v>
          </cell>
          <cell r="F341" t="str">
            <v>RAYAS</v>
          </cell>
          <cell r="G341" t="str">
            <v>Riscos</v>
          </cell>
          <cell r="H341" t="str">
            <v xml:space="preserve"> --&gt; hungarian ?</v>
          </cell>
          <cell r="I341" t="str">
            <v>škrabance</v>
          </cell>
          <cell r="J341" t="str">
            <v xml:space="preserve"> </v>
          </cell>
        </row>
        <row r="342">
          <cell r="A342">
            <v>341</v>
          </cell>
          <cell r="B342" t="str">
            <v>Point noir (VOIR GRILLE OU NORME CLIENT)</v>
          </cell>
          <cell r="C342" t="str">
            <v>black spot (see table or customer requirement)</v>
          </cell>
          <cell r="D342" t="str">
            <v>CZARNYCH PUNKTÓW (ZOBACZ TABELA LUB WYMAGANIA KLIENTA)</v>
          </cell>
          <cell r="E342" t="str">
            <v>Punct negru (A SE VEDEA GRILA SAU CERINTELE CLIENTULUI)</v>
          </cell>
          <cell r="F342" t="str">
            <v>PUNTO NEGRO ( VER TABLA O ESPECIFICACIÓN CLIENTE)</v>
          </cell>
          <cell r="G342" t="str">
            <v>Pintas pretas ( VER PANÓPLIA)</v>
          </cell>
          <cell r="H342" t="str">
            <v xml:space="preserve"> --&gt; hungarian ?</v>
          </cell>
          <cell r="I342" t="str">
            <v>čierny bod ( POZRI ZOSTAVU ALEBO NORMY KLIENTA )</v>
          </cell>
          <cell r="J342" t="str">
            <v xml:space="preserve"> </v>
          </cell>
        </row>
        <row r="343">
          <cell r="A343">
            <v>342</v>
          </cell>
          <cell r="B343" t="str">
            <v>Bulle</v>
          </cell>
          <cell r="C343" t="str">
            <v>Bubble</v>
          </cell>
          <cell r="D343" t="str">
            <v>PĘCHERZY</v>
          </cell>
          <cell r="E343" t="str">
            <v>Bula</v>
          </cell>
          <cell r="F343" t="str">
            <v>Bubujas</v>
          </cell>
          <cell r="G343" t="str">
            <v>Bolhas</v>
          </cell>
          <cell r="H343" t="str">
            <v xml:space="preserve"> --&gt; hungarian ?</v>
          </cell>
          <cell r="I343" t="str">
            <v>Bubline</v>
          </cell>
          <cell r="J343" t="str">
            <v xml:space="preserve"> </v>
          </cell>
        </row>
        <row r="344">
          <cell r="A344">
            <v>343</v>
          </cell>
          <cell r="B344" t="str">
            <v>Trace noire, brûlures</v>
          </cell>
          <cell r="C344" t="str">
            <v>Black mark, burn</v>
          </cell>
          <cell r="D344" t="str">
            <v>CZARNYCH PLAM, PRZYPALEŃ</v>
          </cell>
          <cell r="E344" t="str">
            <v>Urme negre, arsuri</v>
          </cell>
          <cell r="F344" t="str">
            <v>Manchas negras, quemado</v>
          </cell>
          <cell r="G344" t="str">
            <v>Risco preto, queimados</v>
          </cell>
          <cell r="H344" t="str">
            <v xml:space="preserve"> --&gt; hungarian ?</v>
          </cell>
          <cell r="I344" t="str">
            <v>čierna stopa, spálenina</v>
          </cell>
          <cell r="J344" t="str">
            <v xml:space="preserve"> </v>
          </cell>
        </row>
        <row r="345">
          <cell r="A345">
            <v>344</v>
          </cell>
          <cell r="B345" t="str">
            <v>Graisse</v>
          </cell>
          <cell r="C345" t="str">
            <v>Grease</v>
          </cell>
          <cell r="D345" t="str">
            <v>TŁUSTYCH PLAM</v>
          </cell>
          <cell r="E345" t="str">
            <v>Vaselina</v>
          </cell>
          <cell r="F345" t="str">
            <v>Grase</v>
          </cell>
          <cell r="G345" t="str">
            <v>Oleo</v>
          </cell>
          <cell r="H345" t="str">
            <v xml:space="preserve"> --&gt; hungarian ?</v>
          </cell>
          <cell r="I345" t="str">
            <v>Mazivo</v>
          </cell>
          <cell r="J345" t="str">
            <v xml:space="preserve"> </v>
          </cell>
        </row>
        <row r="346">
          <cell r="A346">
            <v>345</v>
          </cell>
          <cell r="B346" t="str">
            <v>Casser la carotte</v>
          </cell>
          <cell r="C346" t="str">
            <v>Break the sprue</v>
          </cell>
          <cell r="D346" t="str">
            <v>Odrywać wlewek</v>
          </cell>
          <cell r="E346" t="str">
            <v>A sparge culeea</v>
          </cell>
          <cell r="F346" t="str">
            <v>Cortar la colada</v>
          </cell>
          <cell r="G346" t="str">
            <v>Partir Gito</v>
          </cell>
          <cell r="H346" t="str">
            <v xml:space="preserve"> --&gt; hungarian ?</v>
          </cell>
          <cell r="I346" t="str">
            <v>zlomený vtok</v>
          </cell>
          <cell r="J346" t="str">
            <v xml:space="preserve"> </v>
          </cell>
        </row>
        <row r="347">
          <cell r="A347">
            <v>346</v>
          </cell>
          <cell r="B347" t="str">
            <v>Trace d'éjecteurs</v>
          </cell>
          <cell r="C347" t="str">
            <v>Ejectors mark</v>
          </cell>
          <cell r="D347" t="str">
            <v>ŚLADÓW WYPYCHACZY</v>
          </cell>
          <cell r="E347" t="str">
            <v>Urme de aruncatoare</v>
          </cell>
          <cell r="F347" t="str">
            <v>Marcas expulsores</v>
          </cell>
          <cell r="G347" t="str">
            <v>Marca de extractores</v>
          </cell>
          <cell r="H347" t="str">
            <v xml:space="preserve"> --&gt; hungarian ?</v>
          </cell>
          <cell r="I347" t="str">
            <v>stopa po vyhadzovači</v>
          </cell>
          <cell r="J347" t="str">
            <v xml:space="preserve"> </v>
          </cell>
        </row>
        <row r="348">
          <cell r="A348">
            <v>347</v>
          </cell>
          <cell r="B348" t="str">
            <v>Casse</v>
          </cell>
          <cell r="C348" t="str">
            <v>break</v>
          </cell>
          <cell r="D348" t="str">
            <v>ZŁAMAŃ</v>
          </cell>
          <cell r="E348" t="str">
            <v>Ruptura</v>
          </cell>
          <cell r="F348" t="str">
            <v>Roto</v>
          </cell>
          <cell r="G348" t="str">
            <v>Partido</v>
          </cell>
          <cell r="H348" t="str">
            <v xml:space="preserve"> --&gt; hungarian ?</v>
          </cell>
          <cell r="I348" t="str">
            <v>zlomenina</v>
          </cell>
          <cell r="J348" t="str">
            <v xml:space="preserve"> </v>
          </cell>
        </row>
        <row r="349">
          <cell r="A349">
            <v>348</v>
          </cell>
          <cell r="B349" t="str">
            <v>Bavure, arrachement</v>
          </cell>
          <cell r="C349" t="str">
            <v>Flash (burr), tearing</v>
          </cell>
          <cell r="D349" t="str">
            <v>NADLEWÓW, WYRWAŃ</v>
          </cell>
          <cell r="E349" t="str">
            <v>Bavura, smulgere</v>
          </cell>
          <cell r="F349" t="str">
            <v>Rebaba, desgaje</v>
          </cell>
          <cell r="G349" t="str">
            <v>Rebarba / arrastamento</v>
          </cell>
          <cell r="H349" t="str">
            <v xml:space="preserve"> --&gt; hungarian ?</v>
          </cell>
          <cell r="I349" t="str">
            <v>spálenina, vytrhnutie</v>
          </cell>
          <cell r="J349" t="str">
            <v xml:space="preserve"> </v>
          </cell>
        </row>
        <row r="350">
          <cell r="A350">
            <v>349</v>
          </cell>
          <cell r="B350" t="str">
            <v>Positionner le composant sur la machine</v>
          </cell>
          <cell r="C350" t="str">
            <v>Put the component on the specific machin</v>
          </cell>
          <cell r="D350" t="str">
            <v>ROZŁOŻYĆ KOMPONENT NA MASZYNIE</v>
          </cell>
          <cell r="E350" t="str">
            <v>Pozitionarea componentei pe masina</v>
          </cell>
          <cell r="F350" t="str">
            <v>PONER EL COMPONENTE SOBRE LA MAQUINA</v>
          </cell>
          <cell r="G350" t="str">
            <v>Colocar o Componente na Máquina</v>
          </cell>
          <cell r="H350" t="str">
            <v xml:space="preserve"> --&gt; hungarian ?</v>
          </cell>
          <cell r="I350" t="str">
            <v>položenie komponentu na stroj</v>
          </cell>
          <cell r="J350" t="str">
            <v xml:space="preserve"> </v>
          </cell>
        </row>
        <row r="351">
          <cell r="A351">
            <v>350</v>
          </cell>
          <cell r="B351" t="str">
            <v>Actionner la bi-manuelle</v>
          </cell>
          <cell r="C351" t="str">
            <v>Start the bi-manual</v>
          </cell>
          <cell r="D351" t="str">
            <v>URUCHOMIĆ MASZYNĘ</v>
          </cell>
          <cell r="E351" t="str">
            <v>A se actiona bi-manualul</v>
          </cell>
          <cell r="F351" t="str">
            <v>ACCIONAR LA BI-MANUAL</v>
          </cell>
          <cell r="G351" t="str">
            <v>Accionar máquina</v>
          </cell>
          <cell r="H351" t="str">
            <v xml:space="preserve"> --&gt; hungarian ?</v>
          </cell>
          <cell r="I351" t="str">
            <v>spustiť bimanuálne</v>
          </cell>
          <cell r="J351" t="str">
            <v xml:space="preserve"> </v>
          </cell>
        </row>
        <row r="352">
          <cell r="A352">
            <v>351</v>
          </cell>
          <cell r="B352" t="str">
            <v>Vérifier la présence des composants sur la pièce</v>
          </cell>
          <cell r="C352" t="str">
            <v>Check presence of all components on the part</v>
          </cell>
          <cell r="D352" t="str">
            <v>SPRAWDZIĆ OBECNOŚĆ KOMPONENTU W WYROBIE</v>
          </cell>
          <cell r="E352" t="str">
            <v xml:space="preserve">Verificati prezenta partilor componente pe piesa </v>
          </cell>
          <cell r="F352" t="str">
            <v>VERIFICAR LA PRESENCIA DE COMPONENTES SOBRE LA PIEZA</v>
          </cell>
          <cell r="G352" t="str">
            <v>Verificar a presença dos componentes na peça</v>
          </cell>
          <cell r="H352" t="str">
            <v xml:space="preserve"> --&gt; hungarian ?</v>
          </cell>
          <cell r="I352" t="str">
            <v>overiť prítomnosť komponentov na kuse</v>
          </cell>
          <cell r="J352" t="str">
            <v xml:space="preserve"> </v>
          </cell>
        </row>
        <row r="353">
          <cell r="A353">
            <v>352</v>
          </cell>
          <cell r="B353" t="str">
            <v xml:space="preserve">Controler les zones fonctionnelles </v>
          </cell>
          <cell r="C353" t="str">
            <v>Inspect the fonctionnal areas</v>
          </cell>
          <cell r="D353" t="str">
            <v>SKONTROLOWAĆ STREFY DZIAŁANIA</v>
          </cell>
          <cell r="E353" t="str">
            <v>Controlati zonele functionale</v>
          </cell>
          <cell r="F353" t="str">
            <v>CONTROLAR LAS ZONAS FUNCIONALES</v>
          </cell>
          <cell r="G353" t="str">
            <v>Controlar as areas funcionais</v>
          </cell>
          <cell r="H353" t="str">
            <v xml:space="preserve"> --&gt; hungarian ?</v>
          </cell>
          <cell r="I353" t="str">
            <v>kontrolovať funkčnú zónu</v>
          </cell>
          <cell r="J353" t="str">
            <v xml:space="preserve"> </v>
          </cell>
        </row>
        <row r="354">
          <cell r="A354">
            <v>353</v>
          </cell>
          <cell r="B354" t="str">
            <v>Evacuer les pièces</v>
          </cell>
          <cell r="C354" t="str">
            <v>Evacuate the parts</v>
          </cell>
          <cell r="D354" t="str">
            <v>USUNĄĆ CZĘŚĆ</v>
          </cell>
          <cell r="E354" t="str">
            <v>Evacuati piesele</v>
          </cell>
          <cell r="F354" t="str">
            <v>QUITAR LAS PIEZAS</v>
          </cell>
          <cell r="G354" t="str">
            <v>Retirar a peça</v>
          </cell>
          <cell r="H354" t="str">
            <v xml:space="preserve"> --&gt; hungarian ?</v>
          </cell>
          <cell r="I354" t="str">
            <v>Vyprázdnenie obrobok</v>
          </cell>
          <cell r="J354" t="str">
            <v xml:space="preserve"> </v>
          </cell>
        </row>
        <row r="355">
          <cell r="A355">
            <v>354</v>
          </cell>
          <cell r="B355" t="str">
            <v>Pas de manque matière</v>
          </cell>
          <cell r="C355" t="str">
            <v>Not missing material</v>
          </cell>
          <cell r="D355" t="str">
            <v>NIE MOŻE BRAKOWAĆ MATERIAŁU</v>
          </cell>
          <cell r="E355" t="str">
            <v>Fara lipsa de material</v>
          </cell>
          <cell r="F355" t="str">
            <v>NO FALTA DE MATERIAL</v>
          </cell>
          <cell r="G355" t="str">
            <v xml:space="preserve">Falta de material não permitida </v>
          </cell>
          <cell r="H355" t="str">
            <v xml:space="preserve"> --&gt; hungarian ?</v>
          </cell>
          <cell r="I355" t="str">
            <v>musí byť dolisovaný</v>
          </cell>
          <cell r="J355" t="str">
            <v xml:space="preserve"> </v>
          </cell>
        </row>
        <row r="356">
          <cell r="A356">
            <v>355</v>
          </cell>
          <cell r="B356" t="str">
            <v>Conditionner la pièce selon gamme d'emballage</v>
          </cell>
          <cell r="C356" t="str">
            <v>Pack the part according to the packaging instruction</v>
          </cell>
          <cell r="D356" t="str">
            <v>PAKOWAĆ CZĘŚCI ZGODNIE Z INSTRUKCJĄ PAKOWANIA</v>
          </cell>
          <cell r="E356" t="str">
            <v>Ambalati piesa in functie de gama de ambalare</v>
          </cell>
          <cell r="F356" t="str">
            <v>EMBALAR LA PIEZA SEGÚN LA PAUTA DE EMBALAJE</v>
          </cell>
          <cell r="G356" t="str">
            <v>Embalar a peça de acordo com a gama de embalagem</v>
          </cell>
          <cell r="H356" t="str">
            <v xml:space="preserve"> --&gt; hungarian ?</v>
          </cell>
          <cell r="I356" t="str">
            <v>baliť kus podľa postupu balenia</v>
          </cell>
          <cell r="J356" t="str">
            <v xml:space="preserve"> </v>
          </cell>
        </row>
        <row r="357">
          <cell r="A357">
            <v>356</v>
          </cell>
          <cell r="B357" t="str">
            <v>Pas de déformation, arrachement</v>
          </cell>
          <cell r="C357" t="str">
            <v>Not deformation or tearing</v>
          </cell>
          <cell r="D357" t="str">
            <v>BRAK DEFORMACJI LUB WYRWAŃ</v>
          </cell>
          <cell r="E357" t="str">
            <v>Fara deformari, ruperi</v>
          </cell>
          <cell r="F357" t="str">
            <v xml:space="preserve">NO DEFORMACIÓN , ARRANCAMIENTO </v>
          </cell>
          <cell r="G357" t="str">
            <v>Deformação ou arrastamento não admissiveis</v>
          </cell>
          <cell r="H357" t="str">
            <v xml:space="preserve"> --&gt; hungarian ?</v>
          </cell>
          <cell r="I357" t="str">
            <v>bez deformácie, vytrhnutia</v>
          </cell>
          <cell r="J357" t="str">
            <v xml:space="preserve"> </v>
          </cell>
        </row>
        <row r="358">
          <cell r="A358">
            <v>357</v>
          </cell>
          <cell r="B358" t="str">
            <v>GAMME DE CONTRÔLE D'ASPECT</v>
          </cell>
          <cell r="C358" t="str">
            <v>Instruction for appearance inspection</v>
          </cell>
          <cell r="D358" t="str">
            <v>INSTRUKCJA KONTROLI ORAZ ASPEKT</v>
          </cell>
          <cell r="E358" t="str">
            <v>GAMA DE CONTROL AL ASPECTULUI</v>
          </cell>
          <cell r="F358" t="str">
            <v>PAUTA DE CONTROL DE ASPECTO</v>
          </cell>
          <cell r="G358" t="str">
            <v>GAMA DE CONTROLO - PEÇAS DE APARÊNCIA.</v>
          </cell>
          <cell r="H358" t="str">
            <v>ESZTÉTIKAI ELLENŐRZÉS UTASÍTÁS</v>
          </cell>
          <cell r="I358" t="str">
            <v>POSTUP KONTROLY ASPEKTU</v>
          </cell>
          <cell r="J358" t="str">
            <v xml:space="preserve"> </v>
          </cell>
        </row>
        <row r="359">
          <cell r="A359">
            <v>358</v>
          </cell>
          <cell r="B359" t="str">
            <v>Schéma opératoire et d'auto-contrôle</v>
          </cell>
          <cell r="C359" t="str">
            <v>Control drawing for operator</v>
          </cell>
          <cell r="D359" t="str">
            <v>Schemat trybu pracy oraz samokontroli</v>
          </cell>
          <cell r="E359" t="str">
            <v>Schema de operare si de autocontrol</v>
          </cell>
          <cell r="F359" t="str">
            <v>ESQUEMA DE TRABAJO Y AUTOCONTROL</v>
          </cell>
          <cell r="G359" t="str">
            <v>Caminho de Controlo</v>
          </cell>
          <cell r="H359" t="str">
            <v xml:space="preserve"> --&gt; hungarian ?</v>
          </cell>
          <cell r="I359" t="str">
            <v>schéma postupu a autokontroly</v>
          </cell>
          <cell r="J359" t="str">
            <v xml:space="preserve"> </v>
          </cell>
        </row>
        <row r="360">
          <cell r="A360">
            <v>359</v>
          </cell>
          <cell r="B360" t="str">
            <v>Rebut</v>
          </cell>
          <cell r="C360" t="str">
            <v>Discard</v>
          </cell>
          <cell r="D360" t="str">
            <v>Odrzut</v>
          </cell>
          <cell r="E360" t="str">
            <v>Rebut</v>
          </cell>
          <cell r="F360" t="str">
            <v>Desecho</v>
          </cell>
          <cell r="G360" t="str">
            <v>Desperdicio</v>
          </cell>
          <cell r="H360" t="str">
            <v>Selejt</v>
          </cell>
          <cell r="I360" t="str">
            <v>nepodarky</v>
          </cell>
          <cell r="J360" t="str">
            <v xml:space="preserve"> </v>
          </cell>
        </row>
        <row r="361">
          <cell r="A361">
            <v>360</v>
          </cell>
          <cell r="B361" t="str">
            <v>GAMME D'EMBALLAGE ET DE CONDITIONNEMENT</v>
          </cell>
          <cell r="C361" t="str">
            <v>Packaging and handling instruction</v>
          </cell>
          <cell r="D361" t="str">
            <v>ZASADY PAKOWANIA I PRZECHOWYWANIA</v>
          </cell>
          <cell r="E361" t="str">
            <v>MOD DE AMBALARE SI CONDITIONARE</v>
          </cell>
          <cell r="F361" t="str">
            <v>PAUTA DE EMBALAJE Y ACONDICIONAMIENTO</v>
          </cell>
          <cell r="G361" t="str">
            <v>GAMA DE EMBALAGEM</v>
          </cell>
          <cell r="H361" t="str">
            <v>CSOMAGOLÁSI ÉS KEZELÉSI UTASÍTÁS</v>
          </cell>
          <cell r="I361" t="str">
            <v>POSTUP BALENIA</v>
          </cell>
          <cell r="J361" t="str">
            <v xml:space="preserve"> </v>
          </cell>
        </row>
        <row r="362">
          <cell r="A362">
            <v>361</v>
          </cell>
          <cell r="B362" t="str">
            <v>Série</v>
          </cell>
          <cell r="C362" t="str">
            <v>Mass production</v>
          </cell>
          <cell r="D362" t="str">
            <v>Seria</v>
          </cell>
          <cell r="E362" t="str">
            <v>Seria</v>
          </cell>
          <cell r="F362" t="str">
            <v>Serie</v>
          </cell>
          <cell r="G362" t="str">
            <v>Série</v>
          </cell>
          <cell r="H362" t="str">
            <v>Tömeggyártás</v>
          </cell>
          <cell r="I362" t="str">
            <v>séria</v>
          </cell>
          <cell r="J362" t="str">
            <v xml:space="preserve"> </v>
          </cell>
        </row>
        <row r="363">
          <cell r="A363">
            <v>362</v>
          </cell>
          <cell r="B363" t="str">
            <v xml:space="preserve">Substitution    </v>
          </cell>
          <cell r="C363" t="str">
            <v xml:space="preserve">Substitution    </v>
          </cell>
          <cell r="D363" t="str">
            <v>Zastapienie</v>
          </cell>
          <cell r="E363" t="str">
            <v xml:space="preserve">Substitutie     </v>
          </cell>
          <cell r="F363" t="str">
            <v>Sustitución</v>
          </cell>
          <cell r="G363" t="str">
            <v>Substituição</v>
          </cell>
          <cell r="H363" t="str">
            <v>Alternatív</v>
          </cell>
          <cell r="I363" t="str">
            <v>náhrada</v>
          </cell>
          <cell r="J363" t="str">
            <v xml:space="preserve"> </v>
          </cell>
        </row>
        <row r="364">
          <cell r="A364">
            <v>363</v>
          </cell>
          <cell r="B364" t="str">
            <v>Mode Opératoire (pour les constituants, se référer à la nomenclature)</v>
          </cell>
          <cell r="C364" t="str">
            <v>Working instruction (See BOM of product)</v>
          </cell>
          <cell r="D364" t="str">
            <v>Instrukcja obsługi (dla kompnentów odnieść się do nomenklatury)</v>
          </cell>
          <cell r="E364" t="str">
            <v>Mod de lucru (pentru componente, se refera la nomenclator)</v>
          </cell>
          <cell r="F364" t="str">
            <v>Modo Operativo (por constituyente, hace referencia e ala nomenclatura)</v>
          </cell>
          <cell r="G364" t="str">
            <v>Instrução de trabalho ( para os componentes verificar numenclatura)</v>
          </cell>
          <cell r="H364" t="str">
            <v>Munkautasítás (lásd a termék BOM listáját)</v>
          </cell>
          <cell r="I364" t="str">
            <v>Postup práce (pozri nomenklatúru)</v>
          </cell>
          <cell r="J364" t="str">
            <v xml:space="preserve"> </v>
          </cell>
        </row>
        <row r="365">
          <cell r="A365">
            <v>364</v>
          </cell>
          <cell r="B365" t="str">
            <v>Identifier chaque carton avec une étiquette suivant modèle page 11 et 12 dès la première pièce emballée.</v>
          </cell>
          <cell r="C365" t="str">
            <v>Identify each box with label (See page 11 and 12) as soon as first part packaging.</v>
          </cell>
          <cell r="D365" t="str">
            <v>Oznaczyć każde opakowanie etykietą zgodną z modelem - str. 11-12 począwszy od pierwszej zapakowanej sztuki.</v>
          </cell>
          <cell r="E365" t="str">
            <v>Identificati fiecare carton cu o eticheta ca si modelul de la paginile 11 si 12 inca de la prima piesa ambalata.</v>
          </cell>
          <cell r="F365" t="str">
            <v>Identificar cada caja con una etiqueta seguir modelo página 11 y 12 desde la primera pieza embalada</v>
          </cell>
          <cell r="G365" t="str">
            <v>Identificar cada caixa com uma etiqueta segundo o modelo da página 11 e 12 desde a primeira peça embalada</v>
          </cell>
          <cell r="H365" t="str">
            <v>Minden boksz azonosítása termékkisérővel (lásd 11 és 12 oldal), amint az első termék a boxba kerül</v>
          </cell>
          <cell r="I365" t="str">
            <v>identifikovať každý kartón etiketou (pozri stranu 11 a 12) hneď po zabalení prvého kusa</v>
          </cell>
          <cell r="J365" t="str">
            <v xml:space="preserve"> </v>
          </cell>
        </row>
        <row r="366">
          <cell r="A366">
            <v>365</v>
          </cell>
          <cell r="B366" t="str">
            <v>Unité d'emballage</v>
          </cell>
          <cell r="C366" t="str">
            <v>Packaging unit</v>
          </cell>
          <cell r="D366" t="str">
            <v>Jednostka opakowania</v>
          </cell>
          <cell r="E366" t="str">
            <v>Unitate de ambalare</v>
          </cell>
          <cell r="F366" t="str">
            <v>Unidad de embalaje</v>
          </cell>
          <cell r="G366" t="str">
            <v>Unidade de embalagem</v>
          </cell>
          <cell r="H366" t="str">
            <v>Csomagolási egység</v>
          </cell>
          <cell r="I366" t="str">
            <v>jednotka balenia</v>
          </cell>
          <cell r="J366" t="str">
            <v xml:space="preserve"> </v>
          </cell>
        </row>
        <row r="367">
          <cell r="A367">
            <v>366</v>
          </cell>
          <cell r="B367" t="str">
            <v>Carton</v>
          </cell>
          <cell r="C367" t="str">
            <v>Cardboard</v>
          </cell>
          <cell r="D367" t="str">
            <v>Karton</v>
          </cell>
          <cell r="E367" t="str">
            <v>Carton</v>
          </cell>
          <cell r="F367" t="str">
            <v>Caja</v>
          </cell>
          <cell r="G367" t="str">
            <v>Cartão</v>
          </cell>
          <cell r="H367" t="str">
            <v>Karton</v>
          </cell>
          <cell r="I367" t="str">
            <v>Kartón</v>
          </cell>
          <cell r="J367" t="str">
            <v xml:space="preserve"> </v>
          </cell>
        </row>
        <row r="368">
          <cell r="A368">
            <v>367</v>
          </cell>
          <cell r="B368" t="str">
            <v>Conteneur</v>
          </cell>
          <cell r="C368" t="str">
            <v>Container</v>
          </cell>
          <cell r="D368" t="str">
            <v xml:space="preserve">Kontener </v>
          </cell>
          <cell r="E368" t="str">
            <v>Container</v>
          </cell>
          <cell r="F368" t="str">
            <v>Contenedor</v>
          </cell>
          <cell r="G368" t="str">
            <v>Contentor</v>
          </cell>
          <cell r="H368" t="str">
            <v>Konténer</v>
          </cell>
          <cell r="J368" t="str">
            <v xml:space="preserve"> </v>
          </cell>
        </row>
        <row r="369">
          <cell r="A369">
            <v>368</v>
          </cell>
          <cell r="B369" t="str">
            <v>Palette</v>
          </cell>
          <cell r="C369" t="str">
            <v>Pallet</v>
          </cell>
          <cell r="D369" t="str">
            <v>Paleta</v>
          </cell>
          <cell r="E369" t="str">
            <v>Palet</v>
          </cell>
          <cell r="F369" t="str">
            <v>Palet</v>
          </cell>
          <cell r="G369" t="str">
            <v>Palete</v>
          </cell>
          <cell r="H369" t="str">
            <v>Szalmazsák</v>
          </cell>
          <cell r="I369" t="str">
            <v>Paleta</v>
          </cell>
          <cell r="J369" t="str">
            <v xml:space="preserve"> </v>
          </cell>
        </row>
        <row r="370">
          <cell r="A370">
            <v>369</v>
          </cell>
          <cell r="B370" t="str">
            <v>Autre (préciser) :</v>
          </cell>
          <cell r="C370" t="str">
            <v>Other (precise) :</v>
          </cell>
          <cell r="D370" t="str">
            <v>Inne (sprecyzować) :</v>
          </cell>
          <cell r="E370" t="str">
            <v>Alte (precizati) :</v>
          </cell>
          <cell r="F370" t="str">
            <v>Otro (precisar) :</v>
          </cell>
          <cell r="G370" t="str">
            <v>Outro - (Especificar)</v>
          </cell>
          <cell r="H370" t="str">
            <v>Egyéb (pontos) :</v>
          </cell>
          <cell r="I370" t="str">
            <v>iné ( upresniť )</v>
          </cell>
          <cell r="J370" t="str">
            <v xml:space="preserve"> </v>
          </cell>
        </row>
        <row r="371">
          <cell r="A371">
            <v>370</v>
          </cell>
          <cell r="B371" t="str">
            <v>Emballage de rotation</v>
          </cell>
          <cell r="C371" t="str">
            <v>Returnable packaging</v>
          </cell>
          <cell r="D371" t="str">
            <v>Opakowanie rotacyjne</v>
          </cell>
          <cell r="E371" t="str">
            <v>Ambalaj de rotatie</v>
          </cell>
          <cell r="F371" t="str">
            <v>Embalaje de rotación</v>
          </cell>
          <cell r="G371" t="str">
            <v>Embalagem returnável</v>
          </cell>
          <cell r="H371" t="str">
            <v>Visszaforgó csomagolás</v>
          </cell>
          <cell r="I371" t="str">
            <v>vratné obaly</v>
          </cell>
          <cell r="J371" t="str">
            <v xml:space="preserve"> </v>
          </cell>
        </row>
        <row r="372">
          <cell r="A372">
            <v>371</v>
          </cell>
          <cell r="B372" t="str">
            <v>Gerbable</v>
          </cell>
          <cell r="C372" t="str">
            <v>Stackable</v>
          </cell>
          <cell r="D372" t="str">
            <v>Paletowanie</v>
          </cell>
          <cell r="E372" t="str">
            <v>Palet suprapus</v>
          </cell>
          <cell r="F372" t="str">
            <v>Se apila</v>
          </cell>
          <cell r="G372" t="str">
            <v>Empilhável</v>
          </cell>
          <cell r="H372" t="str">
            <v xml:space="preserve"> --&gt; hungarian ?</v>
          </cell>
          <cell r="I372" t="str">
            <v>stohovateľné</v>
          </cell>
          <cell r="J372" t="str">
            <v xml:space="preserve"> </v>
          </cell>
        </row>
        <row r="373">
          <cell r="A373">
            <v>372</v>
          </cell>
          <cell r="B373" t="str">
            <v>Quantité emballée par UC =</v>
          </cell>
          <cell r="C373" t="str">
            <v>Quantity / PU =</v>
          </cell>
          <cell r="D373" t="str">
            <v>Ilośc/opakowanie jednostkowe =</v>
          </cell>
          <cell r="E373" t="str">
            <v>Cantitate ambalata / unitate =</v>
          </cell>
          <cell r="F373" t="str">
            <v>Cantidad embalada / unidad =</v>
          </cell>
          <cell r="G373" t="str">
            <v>Quantidade por caixa</v>
          </cell>
          <cell r="H373" t="str">
            <v>Csomagolási egység =</v>
          </cell>
          <cell r="I373" t="str">
            <v>množstvo zabalené v jednotke balenia =</v>
          </cell>
          <cell r="J373" t="str">
            <v xml:space="preserve"> </v>
          </cell>
        </row>
        <row r="374">
          <cell r="A374">
            <v>373</v>
          </cell>
          <cell r="B374" t="str">
            <v>Quantité à peser avant expédition</v>
          </cell>
          <cell r="C374" t="str">
            <v>Quantity to weigh before shipping</v>
          </cell>
          <cell r="D374" t="str">
            <v>Ilość do zważenia pred wysyłką</v>
          </cell>
          <cell r="E374" t="str">
            <v xml:space="preserve">Cantitate de cantarit inaintea expeditie   </v>
          </cell>
          <cell r="F374" t="str">
            <v>Cantidad a pesar antes de la expedición</v>
          </cell>
          <cell r="G374" t="str">
            <v>Quantidade a pesar antes de expedição</v>
          </cell>
          <cell r="H374" t="str">
            <v xml:space="preserve">Szállítás előtt mérendő </v>
          </cell>
          <cell r="I374" t="str">
            <v>množstvo na váženie pred expedíciou</v>
          </cell>
          <cell r="J374" t="str">
            <v xml:space="preserve"> </v>
          </cell>
        </row>
        <row r="375">
          <cell r="A375">
            <v>374</v>
          </cell>
          <cell r="B375" t="str">
            <v>Unité de conditionnement (UC)</v>
          </cell>
          <cell r="C375" t="str">
            <v>PACKAGING UNIT (PU)</v>
          </cell>
          <cell r="D375" t="str">
            <v>OPAKOWANIA JEDNOSTKOWE</v>
          </cell>
          <cell r="E375" t="str">
            <v>unitate de ambalare(UC)</v>
          </cell>
          <cell r="F375" t="str">
            <v>Unidad de embalaje (UE)</v>
          </cell>
          <cell r="G375" t="str">
            <v>Unidade de Embalagem</v>
          </cell>
          <cell r="H375" t="str">
            <v>Csomagolási egység (CsE)</v>
          </cell>
          <cell r="I375" t="str">
            <v>jednotka balenia ( UC )</v>
          </cell>
          <cell r="J375" t="str">
            <v xml:space="preserve"> </v>
          </cell>
        </row>
        <row r="376">
          <cell r="A376">
            <v>375</v>
          </cell>
          <cell r="B376" t="str">
            <v>Unité de manutention (UM)</v>
          </cell>
          <cell r="C376" t="str">
            <v>HANDLING UNIT (HU)</v>
          </cell>
          <cell r="D376" t="str">
            <v>OPAKOWANIA ZBIORCZE</v>
          </cell>
          <cell r="E376" t="str">
            <v>unitate de manutanta (UM)</v>
          </cell>
          <cell r="F376" t="str">
            <v>Unidad de paletizado (UP)</v>
          </cell>
          <cell r="G376" t="str">
            <v>Unidade de Transporte</v>
          </cell>
          <cell r="H376" t="str">
            <v>Kezelési egység (KE)</v>
          </cell>
          <cell r="I376" t="str">
            <v>manipulačná jednotka</v>
          </cell>
          <cell r="J376" t="str">
            <v xml:space="preserve"> </v>
          </cell>
        </row>
        <row r="377">
          <cell r="A377">
            <v>376</v>
          </cell>
          <cell r="J377" t="str">
            <v xml:space="preserve"> </v>
          </cell>
        </row>
        <row r="378">
          <cell r="A378">
            <v>377</v>
          </cell>
          <cell r="B378" t="str">
            <v>Prendre un carton …</v>
          </cell>
          <cell r="C378" t="str">
            <v>Take a box</v>
          </cell>
          <cell r="D378" t="str">
            <v>Wziąć karton …</v>
          </cell>
          <cell r="E378" t="str">
            <v>Luati un carton …</v>
          </cell>
          <cell r="F378" t="str">
            <v>COGER UNA CAJA</v>
          </cell>
          <cell r="G378" t="str">
            <v>Pegar na caixa</v>
          </cell>
          <cell r="H378" t="str">
            <v xml:space="preserve"> --&gt; hungarian ?</v>
          </cell>
          <cell r="I378" t="str">
            <v>zobrať kartón</v>
          </cell>
          <cell r="J378" t="str">
            <v xml:space="preserve"> </v>
          </cell>
        </row>
        <row r="379">
          <cell r="A379">
            <v>378</v>
          </cell>
          <cell r="B379" t="str">
            <v>Poser un intercalaire dans le fond de l'unité d'emballage</v>
          </cell>
          <cell r="C379" t="str">
            <v>Pose a guide in the content of the packaging unit</v>
          </cell>
          <cell r="D379" t="str">
            <v xml:space="preserve">Włożyć przekładkę do jednostki opakowania </v>
          </cell>
          <cell r="E379" t="str">
            <v>Puneti un separator pe fundul cutiei</v>
          </cell>
          <cell r="F379" t="str">
            <v>PONER UN SEPARADOS DENTRO DE LA UNIDAD DE EMBALAJE</v>
          </cell>
          <cell r="G379" t="str">
            <v>Colocar um separador no fundo da caixa</v>
          </cell>
          <cell r="H379" t="str">
            <v xml:space="preserve"> --&gt; hungarian ?</v>
          </cell>
          <cell r="I379" t="str">
            <v>položiť preložku na dno jednotky balenia</v>
          </cell>
          <cell r="J379" t="str">
            <v xml:space="preserve"> </v>
          </cell>
        </row>
        <row r="380">
          <cell r="A380">
            <v>379</v>
          </cell>
          <cell r="B380" t="str">
            <v>Mettre une douffline au fond du carton</v>
          </cell>
          <cell r="C380" t="str">
            <v>put a douffline at the bottom of box</v>
          </cell>
          <cell r="D380" t="str">
            <v>Położyć fizelinę na dno kartonu</v>
          </cell>
          <cell r="E380" t="str">
            <v>Puneti un duflin pe fundul cutiei</v>
          </cell>
          <cell r="F380" t="str">
            <v>PONER UN FOAM AL FONDO DE LA CAJA</v>
          </cell>
          <cell r="G380" t="str">
            <v>Colocar uma espuma no fundo da caixa</v>
          </cell>
          <cell r="H380" t="str">
            <v xml:space="preserve"> --&gt; hungarian ?</v>
          </cell>
          <cell r="I380" t="str">
            <v>dať penovú preložku na dno kartóna</v>
          </cell>
          <cell r="J380" t="str">
            <v xml:space="preserve"> </v>
          </cell>
        </row>
        <row r="381">
          <cell r="A381">
            <v>380</v>
          </cell>
          <cell r="B381" t="str">
            <v>Séparer chaque couche par un intercalaire</v>
          </cell>
          <cell r="C381" t="str">
            <v>separate each layer by a guide</v>
          </cell>
          <cell r="D381" t="str">
            <v>Oddzielić każdą warstwę przekładką</v>
          </cell>
          <cell r="E381" t="str">
            <v>Separati fiecare nivel cu un separator</v>
          </cell>
          <cell r="F381" t="str">
            <v>SEPARAR CADA CAPA CON SEPARADOR</v>
          </cell>
          <cell r="G381" t="str">
            <v>Separar cada camada por uma espuma</v>
          </cell>
          <cell r="H381" t="str">
            <v xml:space="preserve"> --&gt; hungarian ?</v>
          </cell>
          <cell r="I381" t="str">
            <v>oddeliť každé poschodie preložkou</v>
          </cell>
          <cell r="J381" t="str">
            <v xml:space="preserve"> </v>
          </cell>
        </row>
        <row r="382">
          <cell r="A382">
            <v>381</v>
          </cell>
          <cell r="B382" t="str">
            <v>Recouvrir la dernière couche par un intercalaire</v>
          </cell>
          <cell r="C382" t="str">
            <v>cover the last layer by a guide</v>
          </cell>
          <cell r="D382" t="str">
            <v>Przykryć ostatnią warstwę przekładką</v>
          </cell>
          <cell r="E382" t="str">
            <v>Acoperiti ultimul strat printr-un separator</v>
          </cell>
          <cell r="F382" t="str">
            <v>CUBRIR LA ÚLTIMA CAPA CON UN SEPARADOR</v>
          </cell>
          <cell r="G382" t="str">
            <v>Colocar um separador no topo da caixa</v>
          </cell>
          <cell r="H382" t="str">
            <v xml:space="preserve"> --&gt; hungarian ?</v>
          </cell>
          <cell r="I382" t="str">
            <v>zakryť posledné poschodie preložkou</v>
          </cell>
          <cell r="J382" t="str">
            <v xml:space="preserve"> </v>
          </cell>
        </row>
        <row r="383">
          <cell r="A383">
            <v>382</v>
          </cell>
          <cell r="B383" t="str">
            <v>Emballer les pièces suivant le schéma 1</v>
          </cell>
          <cell r="C383" t="str">
            <v>pack the parts according to drawing 1</v>
          </cell>
          <cell r="D383" t="str">
            <v>Zapakować części zgodnie ze schematem 1</v>
          </cell>
          <cell r="E383" t="str">
            <v>Ambalati piesele ca in schema 1</v>
          </cell>
          <cell r="F383" t="str">
            <v>EMBALAR LAS PIEZAS SIGUIENDO EL ESQUEMA 1</v>
          </cell>
          <cell r="G383" t="str">
            <v>Embalar as peças de acordo com o esquema 1</v>
          </cell>
          <cell r="H383" t="str">
            <v xml:space="preserve"> --&gt; hungarian ?</v>
          </cell>
          <cell r="I383" t="str">
            <v>zabaliť kusy podľa schémy 1</v>
          </cell>
          <cell r="J383" t="str">
            <v xml:space="preserve"> </v>
          </cell>
        </row>
        <row r="384">
          <cell r="A384">
            <v>383</v>
          </cell>
          <cell r="B384" t="str">
            <v>Mettre xx pièces par couche</v>
          </cell>
          <cell r="C384" t="str">
            <v>Put xx parts on each layer</v>
          </cell>
          <cell r="D384" t="str">
            <v>Położyć xx części na warstwę</v>
          </cell>
          <cell r="E384" t="str">
            <v>Puneti xxx piese pe fiecare strat</v>
          </cell>
          <cell r="F384" t="str">
            <v>METER XX PIEZAS EN CADA CAPA</v>
          </cell>
          <cell r="G384" t="str">
            <v>Colocar XX peças por camada</v>
          </cell>
          <cell r="H384" t="str">
            <v xml:space="preserve"> --&gt; hungarian ?</v>
          </cell>
          <cell r="I384" t="str">
            <v>dať xx kusov na poschodie</v>
          </cell>
          <cell r="J384" t="str">
            <v xml:space="preserve"> </v>
          </cell>
        </row>
        <row r="385">
          <cell r="A385">
            <v>384</v>
          </cell>
          <cell r="B385" t="str">
            <v>Poser un intercalaire + une douffline</v>
          </cell>
          <cell r="C385" t="str">
            <v>Pose a guide + a douffline</v>
          </cell>
          <cell r="D385" t="str">
            <v>Położyć przekładkę i fizelinę</v>
          </cell>
          <cell r="E385" t="str">
            <v>Puneti un separator + un duflin</v>
          </cell>
          <cell r="F385" t="str">
            <v>PONER UN SEPARADOR + UN FOAM</v>
          </cell>
          <cell r="G385" t="str">
            <v>Colocar um separador e uma espuma</v>
          </cell>
          <cell r="H385" t="str">
            <v xml:space="preserve"> --&gt; hungarian ?</v>
          </cell>
          <cell r="I385" t="str">
            <v>položiť preložku + jednu penovú preložku</v>
          </cell>
          <cell r="J385" t="str">
            <v xml:space="preserve"> </v>
          </cell>
        </row>
        <row r="386">
          <cell r="A386">
            <v>385</v>
          </cell>
          <cell r="B386" t="str">
            <v>Répéter xx fois les opérations</v>
          </cell>
          <cell r="C386" t="str">
            <v>repeat xx times operations</v>
          </cell>
          <cell r="D386" t="str">
            <v>Powtórzyć czynności x razy</v>
          </cell>
          <cell r="E386" t="str">
            <v>Repetati de xx ori operaţia</v>
          </cell>
          <cell r="F386" t="str">
            <v>REPETIR LA OPERACIÓN XX VECES</v>
          </cell>
          <cell r="G386" t="str">
            <v>Repetir a operação XX vezes</v>
          </cell>
          <cell r="H386" t="str">
            <v xml:space="preserve"> --&gt; hungarian ?</v>
          </cell>
          <cell r="I386" t="str">
            <v>opakovať xx krát operáciu</v>
          </cell>
          <cell r="J386" t="str">
            <v xml:space="preserve"> </v>
          </cell>
        </row>
        <row r="387">
          <cell r="A387">
            <v>386</v>
          </cell>
          <cell r="B387" t="str">
            <v>Conditionner chaque unité d'emballage suivant le schéma 2</v>
          </cell>
          <cell r="C387" t="str">
            <v>Package each packaging unit following drawing 2</v>
          </cell>
          <cell r="D387" t="str">
            <v>Zapakować każdą jednostkę pakującą zgodnie ze schematem 2</v>
          </cell>
          <cell r="E387" t="str">
            <v>Puneti cutii pe palet ca in schema 2</v>
          </cell>
          <cell r="F387" t="str">
            <v>CONDICIONAR CADA UNIDAD DE EMBALAJE SIGUIENDO EL ESQUEMA 2</v>
          </cell>
          <cell r="G387" t="str">
            <v>Embalar cada caixa de acordo com o esquema 2.</v>
          </cell>
          <cell r="H387" t="str">
            <v xml:space="preserve"> --&gt; hungarian ?</v>
          </cell>
          <cell r="I387" t="str">
            <v>baliť každú jednotku podľa schémy 2</v>
          </cell>
          <cell r="J387" t="str">
            <v xml:space="preserve"> </v>
          </cell>
        </row>
        <row r="388">
          <cell r="A388">
            <v>387</v>
          </cell>
          <cell r="B388" t="str">
            <v>Filmer l'unité de conditionnement</v>
          </cell>
          <cell r="C388" t="str">
            <v>film the unit of conditioning</v>
          </cell>
          <cell r="D388" t="str">
            <v>Ofoliować jednostkę pakującą</v>
          </cell>
          <cell r="E388" t="str">
            <v>Infoliati unitatea de ambalare</v>
          </cell>
          <cell r="F388" t="str">
            <v>RETRACTILAR LA UNIDAD DE ACONDICIONAMIENTO</v>
          </cell>
          <cell r="G388" t="str">
            <v>Aplicar filme na unidade de acondicionamento</v>
          </cell>
          <cell r="H388" t="str">
            <v xml:space="preserve"> --&gt; hungarian ?</v>
          </cell>
          <cell r="I388" t="str">
            <v>zafóliovať jednotku balenia</v>
          </cell>
          <cell r="J388" t="str">
            <v xml:space="preserve"> </v>
          </cell>
        </row>
        <row r="389">
          <cell r="A389">
            <v>388</v>
          </cell>
          <cell r="B389" t="str">
            <v>Habiller les flancs intérieurs du conteneur</v>
          </cell>
          <cell r="C389" t="str">
            <v>equip the interior sides of the container</v>
          </cell>
          <cell r="D389" t="str">
            <v>Obłożyć wewnętrzne strony kontenera</v>
          </cell>
          <cell r="E389" t="str">
            <v>Captusiti partile interioare ale cutiei</v>
          </cell>
          <cell r="F389" t="str">
            <v>FORRAR LOS LADOS INTERIORES DEL CONTENEDOR</v>
          </cell>
          <cell r="G389" t="str">
            <v>Proteger o interior do contentor</v>
          </cell>
          <cell r="H389" t="str">
            <v xml:space="preserve"> --&gt; hungarian ?</v>
          </cell>
          <cell r="I389" t="str">
            <v>obaliť vnútorné strany kontajneru</v>
          </cell>
          <cell r="J389" t="str">
            <v xml:space="preserve"> </v>
          </cell>
        </row>
        <row r="390">
          <cell r="A390">
            <v>389</v>
          </cell>
          <cell r="B390" t="str">
            <v>Caisses</v>
          </cell>
          <cell r="C390" t="str">
            <v>Boxes</v>
          </cell>
          <cell r="D390" t="str">
            <v>skrzyń</v>
          </cell>
          <cell r="E390" t="str">
            <v>Cutii</v>
          </cell>
          <cell r="F390" t="str">
            <v>Caja</v>
          </cell>
          <cell r="G390" t="str">
            <v>Caixas</v>
          </cell>
          <cell r="H390" t="str">
            <v>Karton</v>
          </cell>
          <cell r="I390" t="str">
            <v>Debna</v>
          </cell>
          <cell r="J390" t="str">
            <v xml:space="preserve"> </v>
          </cell>
        </row>
        <row r="391">
          <cell r="A391">
            <v>390</v>
          </cell>
          <cell r="B391" t="str">
            <v>Bac rebuts</v>
          </cell>
          <cell r="C391" t="str">
            <v>Non conformity box</v>
          </cell>
          <cell r="D391" t="str">
            <v>Pojemnik  do Odrzut</v>
          </cell>
          <cell r="E391" t="str">
            <v>Container rebut</v>
          </cell>
          <cell r="F391" t="str">
            <v>Cubeta desecho</v>
          </cell>
          <cell r="G391" t="str">
            <v>Caixas vermelhas</v>
          </cell>
          <cell r="H391" t="str">
            <v>Selejt konténer</v>
          </cell>
          <cell r="I391" t="str">
            <v>červené prepravky</v>
          </cell>
          <cell r="J391" t="str">
            <v xml:space="preserve"> </v>
          </cell>
        </row>
        <row r="392">
          <cell r="A392">
            <v>391</v>
          </cell>
          <cell r="B392" t="str">
            <v>ETIQUETTE MODELE POUR UC</v>
          </cell>
          <cell r="C392" t="str">
            <v>Model label for packaging unit</v>
          </cell>
          <cell r="D392" t="str">
            <v>WZÓR ETYKIETY DLA OPAKOWANIA JEDNOSTKOWEGO</v>
          </cell>
          <cell r="E392" t="str">
            <v>MODEL DE ETICHETA</v>
          </cell>
          <cell r="F392" t="str">
            <v>ETIQUETA MODELO PARA UE</v>
          </cell>
          <cell r="G392" t="str">
            <v>ETIQUETA MODELO PARA A UNIDADE DE EMBALAGEM ( CAIXA /  CONTENTOR)</v>
          </cell>
          <cell r="H392" t="str">
            <v>CSOMAGOLÁSI EGYSÉG AZONOSÍTÓ CÍMKE</v>
          </cell>
          <cell r="I392" t="str">
            <v>VZOROVÁ ETIKETA PRE UC</v>
          </cell>
          <cell r="J392" t="str">
            <v xml:space="preserve"> </v>
          </cell>
        </row>
        <row r="393">
          <cell r="A393">
            <v>392</v>
          </cell>
          <cell r="B393" t="str">
            <v>Magasin</v>
          </cell>
          <cell r="C393" t="str">
            <v>Warehouse</v>
          </cell>
          <cell r="D393" t="str">
            <v>Magazyn</v>
          </cell>
          <cell r="E393" t="str">
            <v>Magazie</v>
          </cell>
          <cell r="F393" t="str">
            <v>Almacén</v>
          </cell>
          <cell r="G393" t="str">
            <v>Armazém</v>
          </cell>
          <cell r="H393" t="str">
            <v xml:space="preserve"> --&gt; hungarian ?</v>
          </cell>
          <cell r="I393" t="str">
            <v>Sklad</v>
          </cell>
          <cell r="J393" t="str">
            <v xml:space="preserve"> </v>
          </cell>
        </row>
        <row r="394">
          <cell r="A394">
            <v>393</v>
          </cell>
          <cell r="B394" t="str">
            <v>ETIQUETTE MODELE POUR UM</v>
          </cell>
          <cell r="C394" t="str">
            <v>Model label for handling unit</v>
          </cell>
          <cell r="D394" t="str">
            <v>WZÓR ETYKIETY DLA OPAKOWANIA ZBIORCZEGO</v>
          </cell>
          <cell r="E394" t="str">
            <v>MODEL DE ETICHETA PALETA</v>
          </cell>
          <cell r="F394" t="str">
            <v>ETIQUETA MODELO PARA UP</v>
          </cell>
          <cell r="G394" t="str">
            <v>ETIQUETA MODELO PARA UNIDADE DE TRANSPORTE</v>
          </cell>
          <cell r="H394" t="str">
            <v>KEZELÉSI EGYSÉG AZONOSÍTÓ CÍMKE</v>
          </cell>
          <cell r="I394" t="str">
            <v>VZOROVÁ ETIKETA PRE UM</v>
          </cell>
          <cell r="J394" t="str">
            <v xml:space="preserve"> </v>
          </cell>
        </row>
        <row r="395">
          <cell r="A395">
            <v>394</v>
          </cell>
          <cell r="J395" t="str">
            <v xml:space="preserve"> </v>
          </cell>
        </row>
        <row r="396">
          <cell r="A396">
            <v>395</v>
          </cell>
          <cell r="B396" t="str">
            <v>GAMME DE CONTRÔLE PAR PRELEVEMENT</v>
          </cell>
          <cell r="C396" t="str">
            <v>Inspection plan for inspector</v>
          </cell>
          <cell r="D396" t="str">
            <v>INSTRUKCJA KONTROLI DLA INSPEKTORA</v>
          </cell>
          <cell r="E396" t="str">
            <v>GAMA DE CONTROL PRIN PRELEVARE</v>
          </cell>
          <cell r="F396" t="str">
            <v>PAUTA DE CONTROL POR EXTRACCIÓN</v>
          </cell>
          <cell r="G396" t="str">
            <v>GAMA DE CONTROLO POR AMOSTRAGEM</v>
          </cell>
          <cell r="H396" t="str">
            <v>ELLENŐRZÉSI TERV AZ ELLENŐRNEK</v>
          </cell>
          <cell r="I396" t="str">
            <v>POSTUP KOTROLY NÁHODNÝM VÝBEROM</v>
          </cell>
          <cell r="J396" t="str">
            <v xml:space="preserve"> </v>
          </cell>
        </row>
        <row r="397">
          <cell r="A397">
            <v>396</v>
          </cell>
          <cell r="B397" t="str">
            <v>CARACTERISTIQUES A CONTROLER AU DEMARRAGE</v>
          </cell>
          <cell r="C397" t="str">
            <v>CHARACTERISTICS TO INSPECT IN START OF PRODUCTION</v>
          </cell>
          <cell r="D397" t="str">
            <v xml:space="preserve">CHARAKTERYSTYKI DO SKONTROLOWANIA PRZY URUCHOMIENIU </v>
          </cell>
          <cell r="E397" t="str">
            <v>CARACTERISTICI DE CONTROLAT LA DEMARAJ</v>
          </cell>
          <cell r="F397" t="str">
            <v>CARACTERÍSTICAS A CONTROLAR EN EL INICIO</v>
          </cell>
          <cell r="G397" t="str">
            <v>CARACTERISTICAS A CONTROLAR NO ARRANQUE DE PRODUÇÃO</v>
          </cell>
          <cell r="H397" t="str">
            <v>GYÁRTÁSINDÍTÁSNÁL SZÜKSÉGES ELLENŐRZÉSEK</v>
          </cell>
          <cell r="I397" t="str">
            <v>CHARAKTERISTIKY NA KONTROLU PRI SPUSTENÍ VÝROBY</v>
          </cell>
          <cell r="J397" t="str">
            <v xml:space="preserve"> </v>
          </cell>
        </row>
        <row r="398">
          <cell r="A398">
            <v>397</v>
          </cell>
          <cell r="B398" t="str">
            <v>Spécification</v>
          </cell>
          <cell r="C398" t="str">
            <v>Specification</v>
          </cell>
          <cell r="D398" t="str">
            <v>Specyfikacja</v>
          </cell>
          <cell r="E398" t="str">
            <v>Specificatii</v>
          </cell>
          <cell r="F398" t="str">
            <v>Especificación</v>
          </cell>
          <cell r="G398" t="str">
            <v>Especificação</v>
          </cell>
          <cell r="H398" t="str">
            <v>Specifikáció</v>
          </cell>
          <cell r="I398" t="str">
            <v>špecifikácie</v>
          </cell>
          <cell r="J398" t="str">
            <v xml:space="preserve"> </v>
          </cell>
        </row>
        <row r="399">
          <cell r="A399">
            <v>398</v>
          </cell>
          <cell r="B399" t="str">
            <v>Méthode</v>
          </cell>
          <cell r="C399" t="str">
            <v>Method</v>
          </cell>
          <cell r="D399" t="str">
            <v>Metoda</v>
          </cell>
          <cell r="E399" t="str">
            <v>Metoda</v>
          </cell>
          <cell r="F399" t="str">
            <v>Metodo</v>
          </cell>
          <cell r="G399" t="str">
            <v>Método</v>
          </cell>
          <cell r="H399" t="str">
            <v>Ellenőrzés</v>
          </cell>
          <cell r="I399" t="str">
            <v>Postup</v>
          </cell>
          <cell r="J399" t="str">
            <v xml:space="preserve"> </v>
          </cell>
        </row>
        <row r="400">
          <cell r="A400">
            <v>399</v>
          </cell>
          <cell r="B400" t="str">
            <v>Moyens</v>
          </cell>
          <cell r="C400" t="str">
            <v>Means</v>
          </cell>
          <cell r="D400" t="str">
            <v>Środki</v>
          </cell>
          <cell r="E400" t="str">
            <v>Mijloace</v>
          </cell>
          <cell r="F400" t="str">
            <v>Medio</v>
          </cell>
          <cell r="G400" t="str">
            <v>Meios</v>
          </cell>
          <cell r="H400" t="str">
            <v>Anyag</v>
          </cell>
          <cell r="I400" t="str">
            <v>prostriedok</v>
          </cell>
          <cell r="J400" t="str">
            <v xml:space="preserve"> </v>
          </cell>
        </row>
        <row r="401">
          <cell r="A401">
            <v>400</v>
          </cell>
          <cell r="B401" t="str">
            <v>Actions si défaut</v>
          </cell>
          <cell r="C401" t="str">
            <v>Actions if defect</v>
          </cell>
          <cell r="D401" t="str">
            <v>Działania jeśli wada</v>
          </cell>
          <cell r="E401" t="str">
            <v>Actiuni daca sunt defecte</v>
          </cell>
          <cell r="F401" t="str">
            <v>Acciones si hay defectos</v>
          </cell>
          <cell r="G401" t="str">
            <v>Que fazer em caso de defeito</v>
          </cell>
          <cell r="H401" t="str">
            <v>Eljárás hiba esetén</v>
          </cell>
          <cell r="I401" t="str">
            <v>Akcia vi pripade defkt</v>
          </cell>
          <cell r="J401" t="str">
            <v xml:space="preserve"> </v>
          </cell>
        </row>
        <row r="402">
          <cell r="A402">
            <v>401</v>
          </cell>
          <cell r="J402" t="str">
            <v xml:space="preserve"> </v>
          </cell>
        </row>
        <row r="403">
          <cell r="A403">
            <v>402</v>
          </cell>
          <cell r="B403" t="str">
            <v xml:space="preserve">Comparer la pièce avec la pièce échantillon </v>
          </cell>
          <cell r="C403" t="str">
            <v>Compare part with Initial Sample</v>
          </cell>
          <cell r="D403" t="str">
            <v xml:space="preserve">Porównać detal z detalem wzorcowym </v>
          </cell>
          <cell r="E403" t="str">
            <v>Comparati piesa cu piesa etalon</v>
          </cell>
          <cell r="F403" t="str">
            <v>Comparar la pieza con la pieza de muestra</v>
          </cell>
          <cell r="G403" t="str">
            <v>Comparar a peça com a peça de referencia</v>
          </cell>
          <cell r="H403" t="str">
            <v>Összehasonlítás az aláírt mintával</v>
          </cell>
          <cell r="I403" t="str">
            <v>porovnať kus so vzorovým kusom</v>
          </cell>
          <cell r="J403" t="str">
            <v xml:space="preserve"> </v>
          </cell>
        </row>
        <row r="404">
          <cell r="A404">
            <v>403</v>
          </cell>
          <cell r="B404" t="str">
            <v>Pièce échantillon</v>
          </cell>
          <cell r="C404" t="str">
            <v>Initial sample</v>
          </cell>
          <cell r="D404" t="str">
            <v>Detal wzorcowy</v>
          </cell>
          <cell r="E404" t="str">
            <v>Piesa etalon</v>
          </cell>
          <cell r="F404" t="str">
            <v>Pieza muestra</v>
          </cell>
          <cell r="G404" t="str">
            <v>Amostra Inicial Nº.</v>
          </cell>
          <cell r="H404" t="str">
            <v>Aláírt minta</v>
          </cell>
          <cell r="I404" t="str">
            <v>vzorový kus</v>
          </cell>
          <cell r="J404" t="str">
            <v xml:space="preserve"> </v>
          </cell>
        </row>
        <row r="405">
          <cell r="A405">
            <v>404</v>
          </cell>
          <cell r="B405" t="str">
            <v>Visuel</v>
          </cell>
          <cell r="C405" t="str">
            <v>Visual</v>
          </cell>
          <cell r="D405" t="str">
            <v>Wizualnie</v>
          </cell>
          <cell r="E405" t="str">
            <v xml:space="preserve">Vizual </v>
          </cell>
          <cell r="F405" t="str">
            <v>Visual</v>
          </cell>
          <cell r="G405" t="str">
            <v>Visual</v>
          </cell>
          <cell r="H405" t="str">
            <v>Vizuális</v>
          </cell>
          <cell r="I405" t="str">
            <v>vizuálne</v>
          </cell>
          <cell r="J405" t="str">
            <v xml:space="preserve"> </v>
          </cell>
        </row>
        <row r="406">
          <cell r="A406">
            <v>405</v>
          </cell>
          <cell r="B406" t="str">
            <v xml:space="preserve">Effectuer les contrôles série et enregistrer l'accord démarrage </v>
          </cell>
          <cell r="C406" t="str">
            <v>Carry out mass production inspections and record start of production approval</v>
          </cell>
          <cell r="D406" t="str">
            <v xml:space="preserve">Wykonywać kontrole seryjnie oraz rejestrować uruchomienie produkcji </v>
          </cell>
          <cell r="E406" t="str">
            <v>Efectuati controalele serie si inregistrati acordul de demaraj</v>
          </cell>
          <cell r="F406" t="str">
            <v>Efectuar los controles de serie y registrar el acuerdo de inicio</v>
          </cell>
          <cell r="G406" t="str">
            <v>Realizar os controlos Série registar aprovação de arranque de produção.</v>
          </cell>
          <cell r="H406" t="str">
            <v>Elvégzi a tömeggyártás ellenőrzését és rögzíti a termelés kezdetét</v>
          </cell>
          <cell r="I406" t="str">
            <v>vykonať kontroly série a zaznamenať súhlas so spustením výroby</v>
          </cell>
          <cell r="J406" t="str">
            <v xml:space="preserve"> </v>
          </cell>
        </row>
        <row r="407">
          <cell r="A407">
            <v>406</v>
          </cell>
          <cell r="B407" t="str">
            <v xml:space="preserve">Feuille SQP        </v>
          </cell>
          <cell r="C407" t="str">
            <v>QPF Form</v>
          </cell>
          <cell r="D407" t="str">
            <v xml:space="preserve">Karta SQP    </v>
          </cell>
          <cell r="E407" t="str">
            <v xml:space="preserve">Fisa UCP    </v>
          </cell>
          <cell r="F407" t="str">
            <v>Hoja SQP</v>
          </cell>
          <cell r="G407" t="str">
            <v>Registo de controlo série SQP</v>
          </cell>
          <cell r="H407" t="str">
            <v>TMK lap</v>
          </cell>
          <cell r="I407" t="str">
            <v>listy SQP</v>
          </cell>
          <cell r="J407" t="str">
            <v xml:space="preserve"> </v>
          </cell>
        </row>
        <row r="408">
          <cell r="A408">
            <v>407</v>
          </cell>
          <cell r="B408" t="str">
            <v xml:space="preserve">Vérifier le dateur </v>
          </cell>
          <cell r="C408" t="str">
            <v>Check date indicator</v>
          </cell>
          <cell r="D408" t="str">
            <v xml:space="preserve">Sprawdzać datownik </v>
          </cell>
          <cell r="E408" t="str">
            <v>Verificati datorul</v>
          </cell>
          <cell r="F408" t="str">
            <v>Verificar el fechador</v>
          </cell>
          <cell r="G408" t="str">
            <v>Vrificar a actualização do datador</v>
          </cell>
          <cell r="H408" t="str">
            <v xml:space="preserve">Ellenőrzés mérőkészülékkel </v>
          </cell>
          <cell r="I408" t="str">
            <v>overiť kalendár</v>
          </cell>
          <cell r="J408" t="str">
            <v xml:space="preserve"> </v>
          </cell>
        </row>
        <row r="409">
          <cell r="A409">
            <v>408</v>
          </cell>
          <cell r="B409" t="str">
            <v>A jour</v>
          </cell>
          <cell r="C409" t="str">
            <v>Update</v>
          </cell>
          <cell r="D409" t="str">
            <v>Aktualna data</v>
          </cell>
          <cell r="E409" t="str">
            <v>Actualizat</v>
          </cell>
          <cell r="F409" t="str">
            <v>Al día</v>
          </cell>
          <cell r="G409" t="str">
            <v>Actualizado</v>
          </cell>
          <cell r="H409" t="str">
            <v xml:space="preserve"> --&gt; hungarian ?</v>
          </cell>
          <cell r="I409" t="str">
            <v>Aktualizovaný</v>
          </cell>
          <cell r="J409" t="str">
            <v xml:space="preserve"> </v>
          </cell>
        </row>
        <row r="410">
          <cell r="A410">
            <v>409</v>
          </cell>
          <cell r="B410" t="str">
            <v>Dater, signer et conserver la pièce de démarrage avec la pièce échantillon</v>
          </cell>
          <cell r="C410" t="str">
            <v>Date, signe and keep part of start of production with Initial Sample.</v>
          </cell>
          <cell r="D410" t="str">
            <v xml:space="preserve">Oznaczyć datę, podpisać i zachować detal z uruchomienia wraz z detalem wzorcowym </v>
          </cell>
          <cell r="E410" t="str">
            <v>Datati, semnati si conservati piesa de demaraj cu piesa etalon</v>
          </cell>
          <cell r="F410" t="str">
            <v>Fechar, firmar y conservar la pieza de inicio como pieza muestra</v>
          </cell>
          <cell r="G410" t="str">
            <v>Assinar e datar a peça de aprovação de arranque, conserva-la junto da peça Tipo.</v>
          </cell>
          <cell r="H410" t="str">
            <v>Műszakminta készítése: dátum, al￡￭r￡s</v>
          </cell>
          <cell r="I410" t="str">
            <v>dátum, podpísať a uchovať prvý kus so vzorovým kusom</v>
          </cell>
          <cell r="J410" t="str">
            <v xml:space="preserve"> </v>
          </cell>
        </row>
        <row r="411">
          <cell r="A411">
            <v>410</v>
          </cell>
          <cell r="B411" t="str">
            <v>CARACTERISTIQUES A CONTROLER EN SERIE</v>
          </cell>
          <cell r="C411" t="str">
            <v>CHARACTERISTICS TO INSPECT ON PRODUCTION</v>
          </cell>
          <cell r="D411" t="str">
            <v>CHARAKTERYSTYKI DO SPRAWDZENIA PODACZAS SERII</v>
          </cell>
          <cell r="E411" t="str">
            <v>CARACTERISTICI DE CONTROL IN SERIE</v>
          </cell>
          <cell r="F411" t="str">
            <v>CARACTERÍSTICAS A CONTROLAR EN SERIE</v>
          </cell>
          <cell r="G411" t="str">
            <v>CARACTERISTICAS A CONTROLAR EM SÉRIE</v>
          </cell>
          <cell r="H411" t="str">
            <v>GYÁRTÁS ALATT SZÜKSÉGES ELLENŐRZ￉SEK</v>
          </cell>
          <cell r="I411" t="str">
            <v>CHARAKTERISTIKY NA KONTROLU PRI SÉRIOVEJ VÝROBE</v>
          </cell>
          <cell r="J411" t="str">
            <v xml:space="preserve"> </v>
          </cell>
        </row>
        <row r="412">
          <cell r="A412">
            <v>411</v>
          </cell>
          <cell r="B412" t="str">
            <v>Vérifier le respect du mode opératoire et d'auto-contrôle</v>
          </cell>
          <cell r="C412" t="str">
            <v>Check the respect of working and control instruction</v>
          </cell>
          <cell r="D412" t="str">
            <v>Sprawdzić respektowanie trybu pracy oraz samokontroli</v>
          </cell>
          <cell r="E412" t="str">
            <v>Verificati respectarea modului de lucru si autocontrol</v>
          </cell>
          <cell r="F412" t="str">
            <v>Verificar el cumplimiento del modo operativo y de auto control</v>
          </cell>
          <cell r="G412" t="str">
            <v>Verificar o cumprimento do Caminho de Controlo e ou gama de controlo</v>
          </cell>
          <cell r="H412" t="str">
            <v>Ellenőrizze a csomagolási- és nyomonkövetési utasítás alapján</v>
          </cell>
          <cell r="I412" t="str">
            <v>overiť rešpektovanie postupu práce a autokotroly</v>
          </cell>
          <cell r="J412" t="str">
            <v xml:space="preserve"> </v>
          </cell>
        </row>
        <row r="413">
          <cell r="A413">
            <v>412</v>
          </cell>
          <cell r="B413" t="str">
            <v>1 / éq</v>
          </cell>
          <cell r="C413" t="str">
            <v>1 / shift</v>
          </cell>
          <cell r="D413" t="str">
            <v>1 / zmiane</v>
          </cell>
          <cell r="E413" t="str">
            <v>1 / echipa</v>
          </cell>
          <cell r="F413" t="str">
            <v>1 / eq</v>
          </cell>
          <cell r="G413" t="str">
            <v>1 / Equipe</v>
          </cell>
          <cell r="H413" t="str">
            <v>1 / műszak</v>
          </cell>
          <cell r="I413" t="str">
            <v>1 / Zmena</v>
          </cell>
          <cell r="J413" t="str">
            <v xml:space="preserve"> </v>
          </cell>
        </row>
        <row r="414">
          <cell r="A414">
            <v>413</v>
          </cell>
          <cell r="B414" t="str">
            <v>Vérifier le respect du conditionnement et de la traçabilité</v>
          </cell>
          <cell r="C414" t="str">
            <v>Check the respect of packaging and traceability</v>
          </cell>
          <cell r="D414" t="str">
            <v xml:space="preserve">Sprawdzić respektowanie przechowywania i identyfikowania </v>
          </cell>
          <cell r="E414" t="str">
            <v>Verificati repectarea conditionarii si trasabilitatii</v>
          </cell>
          <cell r="F414" t="str">
            <v>Verificar el cumplimiento del acondicionamineto y de la trazabilidad</v>
          </cell>
          <cell r="G414" t="str">
            <v>Verificar o respeito da Gma de embalagem e rastreabilidade</v>
          </cell>
          <cell r="H414" t="str">
            <v>Csomagolási utasításnak megfelelően csomagolnak</v>
          </cell>
          <cell r="I414" t="str">
            <v>overiť rešpektovanie postupu balenia a trasabilitu</v>
          </cell>
          <cell r="J414" t="str">
            <v xml:space="preserve"> </v>
          </cell>
        </row>
        <row r="415">
          <cell r="A415">
            <v>414</v>
          </cell>
          <cell r="B415" t="str">
            <v>Caractéristique Spéciale (CS) : c'est une caractéristique qui peut affecter la sécurité/réglementation, aptitude à l'emploi, fonction, performances du produit. Aucune dérogation ne peut être accordée.</v>
          </cell>
          <cell r="C415" t="str">
            <v>Special Characteristic (SC) : is a characteristic which may affect safety/regulation, ability to use, function, performance of product. No concession will be approved.</v>
          </cell>
          <cell r="D415" t="str">
            <v>Sorry, Polish translation is under construction</v>
          </cell>
          <cell r="E415" t="str">
            <v>Caracteristica speciala (SC) este o caracteristica care poate afecta siguranta/reglementari, abilitatea de folosinta, functia, performanta produsului. Nici o derogare nu este aprobata.</v>
          </cell>
          <cell r="F415" t="str">
            <v>Caracteristicas especiales (CS): es una caracteristica que puede afectar a la seguridad / reglamentación / funcionalidad / comportamiento del producto. Ninguna derogación puede ser aprovada.</v>
          </cell>
          <cell r="G415" t="str">
            <v xml:space="preserve">Caracteristica Especial ( SC) : É uma caracteristia que pode afectar a segurança/regulamentação, função,aptidão ao uso ou a ferformance do produto. Não é permitido qualquer derrogação ao seu cumprimento. </v>
          </cell>
          <cell r="H415" t="str">
            <v>Speciális Jellemző (SJ) : Az SC olyan jellemző, amely hatással lehet a munkabiztonságra/szabályokra, a termék felhasználhatóságára, funkciójára, működésére. Eltérési Engedélyt nem ad a vevő rá.</v>
          </cell>
          <cell r="I415" t="str">
            <v>špeciálna charakteristika ( CS ), je to charakteristika, z ktorej môže vyplývať ochrana/predpis, spôsobilosť pracovníka, funkčnosť a pôsobenie produktu. Žiadne dočasné povolenie odchýlky nemôže byť dovolené</v>
          </cell>
          <cell r="J415" t="str">
            <v xml:space="preserve"> </v>
          </cell>
        </row>
        <row r="416">
          <cell r="A416">
            <v>415</v>
          </cell>
          <cell r="B416" t="str">
            <v>DIMENSIONNEL</v>
          </cell>
          <cell r="C416" t="str">
            <v>DIMENSIONAL</v>
          </cell>
          <cell r="D416" t="str">
            <v>WYMIAROWO</v>
          </cell>
          <cell r="E416" t="str">
            <v>DIMENSIONAL</v>
          </cell>
          <cell r="F416" t="str">
            <v>DIMENSIONAL</v>
          </cell>
          <cell r="G416" t="str">
            <v>DIMENSIONAL</v>
          </cell>
          <cell r="H416" t="str">
            <v>MÉRET</v>
          </cell>
          <cell r="I416" t="str">
            <v>ROZMEROVÝ</v>
          </cell>
          <cell r="J416" t="str">
            <v xml:space="preserve"> </v>
          </cell>
        </row>
        <row r="417">
          <cell r="A417">
            <v>416</v>
          </cell>
          <cell r="B417" t="str">
            <v>FONCTIONNEL</v>
          </cell>
          <cell r="C417" t="str">
            <v>FUNCTIONALITY</v>
          </cell>
          <cell r="D417" t="str">
            <v>FUNKCJONALNY</v>
          </cell>
          <cell r="E417" t="str">
            <v>FUNCTIONAL</v>
          </cell>
          <cell r="F417" t="str">
            <v>FUNCIONAL</v>
          </cell>
          <cell r="G417" t="str">
            <v>FUNCIONAL</v>
          </cell>
          <cell r="H417" t="str">
            <v>FUNKCIONALIS</v>
          </cell>
          <cell r="I417" t="str">
            <v>FUNKČNOSŤ</v>
          </cell>
          <cell r="J417" t="str">
            <v xml:space="preserve"> </v>
          </cell>
        </row>
        <row r="418">
          <cell r="A418">
            <v>417</v>
          </cell>
          <cell r="B418" t="str">
            <v>ASPECT</v>
          </cell>
          <cell r="C418" t="str">
            <v>APPEARANCE</v>
          </cell>
          <cell r="D418" t="str">
            <v>ASPEKT</v>
          </cell>
          <cell r="E418" t="str">
            <v>ASPECT</v>
          </cell>
          <cell r="F418" t="str">
            <v>ASPECTO</v>
          </cell>
          <cell r="G418" t="str">
            <v>APARÊNCIA</v>
          </cell>
          <cell r="H418" t="str">
            <v>ESZTÉTIKAI</v>
          </cell>
          <cell r="I418" t="str">
            <v>ASPEKT</v>
          </cell>
          <cell r="J418" t="str">
            <v xml:space="preserve"> </v>
          </cell>
        </row>
        <row r="419">
          <cell r="A419">
            <v>418</v>
          </cell>
          <cell r="B419" t="str">
            <v>Dater et signer la pièce contrôlée. La conserver en lieu et place de la pièce de démarrage ou du dernier contrôle.</v>
          </cell>
          <cell r="C419" t="str">
            <v>Date and sign part inspected.Keep theses parts and scrap last parts inspected.</v>
          </cell>
          <cell r="D419" t="str">
            <v>Oznaczyć datę i opisać skontrolowany detal. Zachować go w tym samym miejscu co detal z uruchomnienia lub ostatniej kontroli.</v>
          </cell>
          <cell r="E419" t="str">
            <v>Datati si semnati piesa controlata.Conservati-o in locul piesei de demaraj sau al ultimului control.</v>
          </cell>
          <cell r="F419" t="str">
            <v>Fechar y firmar la pieza controlada.Conservarla en el lugar de la pieza de inicio o del último control.</v>
          </cell>
          <cell r="G419" t="str">
            <v>Datar e assinar a peça controlada. Coloca-la junto á peça de arranque ou á ultima peça controlada.</v>
          </cell>
          <cell r="H419" t="str">
            <v>Ellenőrizze a dátumot és az operátori jelölést. Őrizze meg a mintát és az utolsó ellenőrzött selejtet.</v>
          </cell>
          <cell r="I419" t="str">
            <v>označiť dátumom a podpisom kontrolovaný kus.uchovať ho na mieste určenom pre prvé kusy alebo kusy poslednej kontroly</v>
          </cell>
          <cell r="J419" t="str">
            <v xml:space="preserve"> </v>
          </cell>
        </row>
        <row r="420">
          <cell r="A420">
            <v>419</v>
          </cell>
          <cell r="B420" t="str">
            <v>FIN DE SERIE</v>
          </cell>
          <cell r="C420" t="str">
            <v>END OF PRODUCTION</v>
          </cell>
          <cell r="D420" t="str">
            <v>KONIEC PRODUKCJI</v>
          </cell>
          <cell r="E420" t="str">
            <v>FINALUL SERIEI</v>
          </cell>
          <cell r="F420" t="str">
            <v>FIN DE SERIE</v>
          </cell>
          <cell r="G420" t="str">
            <v>FIM DE PRODUÇÃO</v>
          </cell>
          <cell r="H420" t="str">
            <v>GYÁRTÁS VÉGÉN</v>
          </cell>
          <cell r="I420" t="str">
            <v>KONIEC RAD</v>
          </cell>
          <cell r="J420" t="str">
            <v xml:space="preserve"> </v>
          </cell>
        </row>
        <row r="421">
          <cell r="A421">
            <v>420</v>
          </cell>
          <cell r="B421" t="str">
            <v>Soufflage des circuits d'eau</v>
          </cell>
          <cell r="C421" t="str">
            <v>Blow regulation circuits</v>
          </cell>
          <cell r="D421" t="str">
            <v>Wydmuchanie obiegów wodnych</v>
          </cell>
          <cell r="E421" t="str">
            <v>Suflarea circuitelor de apa</v>
          </cell>
          <cell r="F421" t="str">
            <v>Soplado de los circuitos de agua</v>
          </cell>
          <cell r="G421" t="str">
            <v>Soprar os circuitos de agua</v>
          </cell>
          <cell r="H421" t="str">
            <v>Fuvassa ki a hűtőkörket</v>
          </cell>
          <cell r="I421" t="str">
            <v>ofúknutie vodného okruhu</v>
          </cell>
          <cell r="J421" t="str">
            <v xml:space="preserve"> </v>
          </cell>
        </row>
        <row r="422">
          <cell r="A422">
            <v>421</v>
          </cell>
          <cell r="B422" t="str">
            <v>Nettoyage de l'empreinte</v>
          </cell>
          <cell r="C422" t="str">
            <v>Clean cavities</v>
          </cell>
          <cell r="D422" t="str">
            <v>Wyczyszczenie gniazd</v>
          </cell>
          <cell r="E422" t="str">
            <v>Curatarea amprentelor</v>
          </cell>
          <cell r="F422" t="str">
            <v>Limpieza de las cavidades</v>
          </cell>
          <cell r="G422" t="str">
            <v>Limpar as cavidades</v>
          </cell>
          <cell r="H422" t="str">
            <v>Tisztítsa meg a formát</v>
          </cell>
          <cell r="I422" t="str">
            <v>čistenie komory</v>
          </cell>
          <cell r="J422" t="str">
            <v xml:space="preserve"> </v>
          </cell>
        </row>
        <row r="423">
          <cell r="A423">
            <v>422</v>
          </cell>
          <cell r="B423" t="str">
            <v>Expertise de la dernière moulée et entretien du moule à l'atelier mécanique si nécessaire.</v>
          </cell>
          <cell r="C423" t="str">
            <v xml:space="preserve">Analyze last moulding and maintain mould by Maintenance Dpt (If necessary)                      </v>
          </cell>
          <cell r="D423" t="str">
            <v>Expertyza ostatniego detalu i konserwacja formy w narzędziowni jesli to konieczne.</v>
          </cell>
          <cell r="E423" t="str">
            <v>Analiza ultimei piesei injectate la atelierul mecanic daca e necesar</v>
          </cell>
          <cell r="F423" t="str">
            <v xml:space="preserve">Evaluación la última pieza moldeada y mantenimiento molde en el taller mecánico en caso necesario.     </v>
          </cell>
          <cell r="G423" t="str">
            <v xml:space="preserve">Análise da ultima moldação Injectada, verificar a necessidade de manutenção ao molde. </v>
          </cell>
          <cell r="H423" t="str">
            <v>Viszgálja meg a szerszámot és végeztesse el a karbantartást a Karbantartókkal (ha szükséges)</v>
          </cell>
          <cell r="I423" t="str">
            <v>Analýza posledného vstrekovania a údržba formy na údržbe foriem (ak je nutné)</v>
          </cell>
          <cell r="J423" t="str">
            <v xml:space="preserve"> </v>
          </cell>
        </row>
        <row r="424">
          <cell r="A424">
            <v>423</v>
          </cell>
          <cell r="B424" t="str">
            <v>Alerter le Régleur</v>
          </cell>
          <cell r="C424" t="str">
            <v>Alert setter</v>
          </cell>
          <cell r="D424" t="str">
            <v>Zawiadomić ustawiacza</v>
          </cell>
          <cell r="E424" t="str">
            <v>Alertati Reglorul</v>
          </cell>
          <cell r="F424" t="str">
            <v>Avisar al ajustador</v>
          </cell>
          <cell r="G424" t="str">
            <v>Alertar o Tecnico de Injecção.</v>
          </cell>
          <cell r="H424" t="str">
            <v>Gépbeállító riasztása</v>
          </cell>
          <cell r="I424" t="str">
            <v>upozornenie nastavovača</v>
          </cell>
          <cell r="J424" t="str">
            <v xml:space="preserve"> </v>
          </cell>
        </row>
        <row r="425">
          <cell r="A425">
            <v>424</v>
          </cell>
          <cell r="B425" t="str">
            <v>Demander la correction</v>
          </cell>
          <cell r="C425" t="str">
            <v>Ask correction</v>
          </cell>
          <cell r="D425" t="str">
            <v>Poprosić o korekcję</v>
          </cell>
          <cell r="E425" t="str">
            <v>Cereti o corectie</v>
          </cell>
          <cell r="F425" t="str">
            <v>Solicitar corrección</v>
          </cell>
          <cell r="G425" t="str">
            <v>Pedir correcção</v>
          </cell>
          <cell r="H425" t="str">
            <v>Kérjen javítást</v>
          </cell>
          <cell r="I425" t="str">
            <v>žiadať opravu</v>
          </cell>
          <cell r="J425" t="str">
            <v xml:space="preserve"> </v>
          </cell>
        </row>
        <row r="426">
          <cell r="A426">
            <v>425</v>
          </cell>
          <cell r="B426" t="str">
            <v>Vérifier la correction</v>
          </cell>
          <cell r="C426" t="str">
            <v>Check correction</v>
          </cell>
          <cell r="D426" t="str">
            <v>Sprawdzić korekcję</v>
          </cell>
          <cell r="E426" t="str">
            <v>Verificati corectia</v>
          </cell>
          <cell r="F426" t="str">
            <v>Verificar la corrección</v>
          </cell>
          <cell r="G426" t="str">
            <v>Verificar correcção</v>
          </cell>
          <cell r="H426" t="str">
            <v>Ellenőrizze a javítást</v>
          </cell>
          <cell r="I426" t="str">
            <v>overiť opravu</v>
          </cell>
          <cell r="J426" t="str">
            <v xml:space="preserve"> </v>
          </cell>
        </row>
        <row r="427">
          <cell r="A427">
            <v>426</v>
          </cell>
          <cell r="B427" t="str">
            <v>Isoler le lot défectueux</v>
          </cell>
          <cell r="C427" t="str">
            <v>Block batch</v>
          </cell>
          <cell r="D427" t="str">
            <v>Odseparować wadliwy lot</v>
          </cell>
          <cell r="E427" t="str">
            <v>Izolati lotul defectuos</v>
          </cell>
          <cell r="F427" t="str">
            <v>Separar el lote defectuoso</v>
          </cell>
          <cell r="G427" t="str">
            <v>Isolar o lote suspeito</v>
          </cell>
          <cell r="H427" t="str">
            <v>Zárolja a tételt</v>
          </cell>
          <cell r="I427" t="str">
            <v>izolovať chybné LOT</v>
          </cell>
          <cell r="J427" t="str">
            <v xml:space="preserve"> </v>
          </cell>
        </row>
        <row r="428">
          <cell r="A428">
            <v>427</v>
          </cell>
          <cell r="B428" t="str">
            <v>Vérifier et trier le stock depuis le dernier prélèvement</v>
          </cell>
          <cell r="C428" t="str">
            <v>Check and sort out the store since last inspection</v>
          </cell>
          <cell r="D428" t="str">
            <v>Sprawdzić i odnaleźć stock od pobrania ostatniej próbki</v>
          </cell>
          <cell r="E428" t="str">
            <v>Verificati si triati stocul de la ultima prelevare</v>
          </cell>
          <cell r="F428" t="str">
            <v>Verificar y seleccionar el stock desde la última extracción de pieza</v>
          </cell>
          <cell r="G428" t="str">
            <v>Verificar a e triar o stock desde o ultimo controlo aceite.</v>
          </cell>
          <cell r="H428" t="str">
            <v>Ellenőrizze és rendezze a készletet az utolsó ellenőrzés óta</v>
          </cell>
          <cell r="I428" t="str">
            <v>overiť a triediť sklad od poslednéj náhodnej kontroly</v>
          </cell>
          <cell r="J428" t="str">
            <v xml:space="preserve"> </v>
          </cell>
        </row>
        <row r="429">
          <cell r="A429">
            <v>428</v>
          </cell>
          <cell r="B429" t="str">
            <v>Alerter le Service Qualité</v>
          </cell>
          <cell r="C429" t="str">
            <v>Alert Quality Dpt</v>
          </cell>
          <cell r="D429" t="str">
            <v>Zawiadomiś dział jakości</v>
          </cell>
          <cell r="E429" t="str">
            <v>Alertati Serviciul Calitate</v>
          </cell>
          <cell r="F429" t="str">
            <v>Avisar al Servicio de Calidad</v>
          </cell>
          <cell r="G429" t="str">
            <v>Informar o Dep. Qulaidade</v>
          </cell>
          <cell r="H429" t="str">
            <v>Riassza a MEO-t</v>
          </cell>
          <cell r="I429" t="str">
            <v>upozornenie oddelenia kvality</v>
          </cell>
          <cell r="J429" t="str">
            <v xml:space="preserve"> </v>
          </cell>
        </row>
        <row r="430">
          <cell r="A430">
            <v>429</v>
          </cell>
          <cell r="B430" t="str">
            <v>Ebavurer la pièce</v>
          </cell>
          <cell r="C430" t="str">
            <v xml:space="preserve">Deburr to the parts </v>
          </cell>
          <cell r="D430" t="str">
            <v>Usunąć wyplywki z detalu</v>
          </cell>
          <cell r="E430" t="str">
            <v>Debavurati piesa</v>
          </cell>
          <cell r="F430" t="str">
            <v>Retirar la rebaba</v>
          </cell>
          <cell r="G430" t="str">
            <v>Rebarbar a peça</v>
          </cell>
          <cell r="H430" t="str">
            <v>Sorjázza a darabot</v>
          </cell>
          <cell r="I430" t="str">
            <v>odstraňovať prestrek na kusoch</v>
          </cell>
          <cell r="J430" t="str">
            <v xml:space="preserve"> </v>
          </cell>
        </row>
        <row r="431">
          <cell r="A431">
            <v>430</v>
          </cell>
          <cell r="B431" t="str">
            <v>Rebuter et comptabiliser</v>
          </cell>
          <cell r="C431" t="str">
            <v>Scrap and count</v>
          </cell>
          <cell r="D431" t="str">
            <v>Odrzucić i  policzyć</v>
          </cell>
          <cell r="E431" t="str">
            <v>Rebutati si contabilizati</v>
          </cell>
          <cell r="F431" t="str">
            <v>Rechazar y contabilizar</v>
          </cell>
          <cell r="G431" t="str">
            <v>Rejeitar e contabilizar</v>
          </cell>
          <cell r="H431" t="str">
            <v>Kidobás és számolás</v>
          </cell>
          <cell r="I431" t="str">
            <v>opraviť a počitať</v>
          </cell>
          <cell r="J431" t="str">
            <v xml:space="preserve"> </v>
          </cell>
        </row>
        <row r="432">
          <cell r="A432">
            <v>431</v>
          </cell>
          <cell r="B432" t="str">
            <v>Nettoyer la pièce</v>
          </cell>
          <cell r="C432" t="str">
            <v>Clean the parts</v>
          </cell>
          <cell r="D432" t="str">
            <v>Wyczyścić detal</v>
          </cell>
          <cell r="E432" t="str">
            <v>Curatati piesa</v>
          </cell>
          <cell r="F432" t="str">
            <v>Limpiar la pieza</v>
          </cell>
          <cell r="G432" t="str">
            <v>Limpar a peça</v>
          </cell>
          <cell r="H432" t="str">
            <v>Tisztítsa a darabokat</v>
          </cell>
          <cell r="I432" t="str">
            <v>čistiť kus</v>
          </cell>
          <cell r="J432" t="str">
            <v xml:space="preserve"> </v>
          </cell>
        </row>
        <row r="433">
          <cell r="A433">
            <v>432</v>
          </cell>
          <cell r="B433" t="str">
            <v>Reconditionner</v>
          </cell>
          <cell r="C433" t="str">
            <v>Repackage</v>
          </cell>
          <cell r="D433" t="str">
            <v>Przepakować</v>
          </cell>
          <cell r="E433" t="str">
            <v>Reambalati</v>
          </cell>
          <cell r="F433" t="str">
            <v>Reacondicionar</v>
          </cell>
          <cell r="G433" t="str">
            <v>Recondicionar</v>
          </cell>
          <cell r="H433" t="str">
            <v>Átcsomagolás</v>
          </cell>
          <cell r="I433" t="str">
            <v>prebaliť</v>
          </cell>
          <cell r="J433" t="str">
            <v xml:space="preserve"> </v>
          </cell>
        </row>
        <row r="434">
          <cell r="A434">
            <v>433</v>
          </cell>
          <cell r="B434" t="str">
            <v>Comparer</v>
          </cell>
          <cell r="C434" t="str">
            <v>Compare</v>
          </cell>
          <cell r="D434" t="str">
            <v>Porównać</v>
          </cell>
          <cell r="E434" t="str">
            <v>Comparati</v>
          </cell>
          <cell r="F434" t="str">
            <v>Comparar</v>
          </cell>
          <cell r="G434" t="str">
            <v>Comparar</v>
          </cell>
          <cell r="H434" t="str">
            <v>összehasonlít</v>
          </cell>
          <cell r="I434" t="str">
            <v>porovnať</v>
          </cell>
          <cell r="J434" t="str">
            <v xml:space="preserve"> </v>
          </cell>
        </row>
        <row r="435">
          <cell r="A435">
            <v>434</v>
          </cell>
          <cell r="B435" t="str">
            <v>Vérifier</v>
          </cell>
          <cell r="C435" t="str">
            <v>Check</v>
          </cell>
          <cell r="D435" t="str">
            <v>Sprawdzić</v>
          </cell>
          <cell r="E435" t="str">
            <v>Verificati</v>
          </cell>
          <cell r="F435" t="str">
            <v>Verificar</v>
          </cell>
          <cell r="G435" t="str">
            <v>Verificar</v>
          </cell>
          <cell r="H435" t="str">
            <v>Minden</v>
          </cell>
          <cell r="I435" t="str">
            <v>overiť</v>
          </cell>
          <cell r="J435" t="str">
            <v xml:space="preserve"> </v>
          </cell>
        </row>
        <row r="436">
          <cell r="A436">
            <v>435</v>
          </cell>
          <cell r="B436" t="str">
            <v>Mise à jour dateur</v>
          </cell>
          <cell r="C436" t="str">
            <v>Date indicator up to date</v>
          </cell>
          <cell r="D436" t="str">
            <v xml:space="preserve">Aktualna datownik </v>
          </cell>
          <cell r="E436" t="str">
            <v>Actualizarea datorului</v>
          </cell>
          <cell r="F436" t="str">
            <v>Puesta al día el fechador</v>
          </cell>
          <cell r="G436" t="str">
            <v>Actualização do datador</v>
          </cell>
          <cell r="H436" t="str">
            <v xml:space="preserve"> --&gt; hungarian ?</v>
          </cell>
          <cell r="I436" t="str">
            <v>kalendár aktualizovaný</v>
          </cell>
          <cell r="J436" t="str">
            <v xml:space="preserve"> </v>
          </cell>
        </row>
        <row r="437">
          <cell r="A437">
            <v>436</v>
          </cell>
          <cell r="J437" t="str">
            <v xml:space="preserve"> </v>
          </cell>
        </row>
        <row r="438">
          <cell r="A438">
            <v>437</v>
          </cell>
          <cell r="B438" t="str">
            <v>SCHEMA POUR GAMME DE CONTRÔLE</v>
          </cell>
          <cell r="C438" t="str">
            <v>Inspection drawing for inspector</v>
          </cell>
          <cell r="D438" t="str">
            <v>SCHEMAT KONTROLI</v>
          </cell>
          <cell r="E438" t="str">
            <v>SCHEMA PENTRU GAMA CONTROL</v>
          </cell>
          <cell r="F438" t="str">
            <v>ESQUEMA PARA PAUTA DE CONTROL</v>
          </cell>
          <cell r="G438" t="str">
            <v>CAMINHO DE CONTROLO</v>
          </cell>
          <cell r="H438" t="str">
            <v>ELLENŐRZÉSI RAJZ AZ ELLENŐRNEK</v>
          </cell>
          <cell r="I438" t="str">
            <v>SCHÉMA PRE POSTUP KONTROLY</v>
          </cell>
          <cell r="J438" t="str">
            <v xml:space="preserve"> </v>
          </cell>
        </row>
        <row r="439">
          <cell r="A439">
            <v>438</v>
          </cell>
          <cell r="G439" t="str">
            <v/>
          </cell>
          <cell r="J439" t="str">
            <v xml:space="preserve"> </v>
          </cell>
        </row>
        <row r="440">
          <cell r="A440">
            <v>439</v>
          </cell>
          <cell r="B440" t="str">
            <v xml:space="preserve">INSTRUCTION DE SUPER CONTRÔLE SUITE MISE EN PLACE PROCEDURE "STOP" </v>
          </cell>
          <cell r="C440" t="str">
            <v>Instruction for inspection intensified following the "STOP" procedure</v>
          </cell>
          <cell r="D440" t="str">
            <v>INSTRUKCJA KONTROLI SZCZEGÓŁWEJ</v>
          </cell>
          <cell r="E440" t="str">
            <v>INSTRUCTIUNE DE SUPER CONTROL CA URMARE A APLICARII PROCEDURII "STOP"</v>
          </cell>
          <cell r="F440" t="str">
            <v>INSTRUCCIÓNES DE SUPER CONTROL DESPUÉS DE IMPLEMENTACIÓN PROCESO "STOP"</v>
          </cell>
          <cell r="G440" t="str">
            <v>INSTRUÇÃO DE CONTROLO REFORÇADO, APÓS APLICAÇÃO DO PROCEDIMENTO " STOP"</v>
          </cell>
          <cell r="H440" t="str">
            <v>RÉSZLETES ELLENŐRZÉSI UTASÍTÁS</v>
          </cell>
          <cell r="I440" t="str">
            <v>INŠTRUKCIA SUPER KONTROLY A NÁSLEDNE UPLATNIŤ PROCEDÚRU "STOP"</v>
          </cell>
          <cell r="J440" t="str">
            <v xml:space="preserve"> </v>
          </cell>
        </row>
        <row r="441">
          <cell r="A441">
            <v>440</v>
          </cell>
          <cell r="B441" t="str">
            <v>Cause : Description du problème</v>
          </cell>
          <cell r="C441" t="str">
            <v>CAUSE : Problem description</v>
          </cell>
          <cell r="D441" t="str">
            <v>PRZYCZYNA:Opis problemu</v>
          </cell>
          <cell r="E441" t="str">
            <v>CAUZA : Descrierea problemei</v>
          </cell>
          <cell r="F441" t="str">
            <v>Causa : descripción del problema</v>
          </cell>
          <cell r="G441" t="str">
            <v>Causa: descrição do problema</v>
          </cell>
          <cell r="H441" t="str">
            <v>Ok : Probléma leírása</v>
          </cell>
          <cell r="I441" t="str">
            <v>príčina : popis problému</v>
          </cell>
        </row>
        <row r="442">
          <cell r="A442">
            <v>441</v>
          </cell>
          <cell r="B442" t="str">
            <v>Nouveau produit</v>
          </cell>
          <cell r="C442" t="str">
            <v>New product</v>
          </cell>
          <cell r="D442" t="str">
            <v>Nowy produkt</v>
          </cell>
          <cell r="E442" t="str">
            <v>Produs nou</v>
          </cell>
          <cell r="F442" t="str">
            <v>Nuevo producto</v>
          </cell>
          <cell r="G442" t="str">
            <v>Produto novo</v>
          </cell>
          <cell r="H442" t="str">
            <v>Új termék</v>
          </cell>
          <cell r="I442" t="str">
            <v>nový produkt</v>
          </cell>
          <cell r="J442" t="str">
            <v xml:space="preserve"> </v>
          </cell>
        </row>
        <row r="443">
          <cell r="A443">
            <v>442</v>
          </cell>
          <cell r="B443" t="str">
            <v>Incident client</v>
          </cell>
          <cell r="C443" t="str">
            <v>Customer incident</v>
          </cell>
          <cell r="D443" t="str">
            <v>Incydent u klienta</v>
          </cell>
          <cell r="E443" t="str">
            <v xml:space="preserve">Incident client </v>
          </cell>
          <cell r="F443" t="str">
            <v>Incidente cliente</v>
          </cell>
          <cell r="G443" t="str">
            <v>Reclamação do cliente</v>
          </cell>
          <cell r="H443" t="str">
            <v>Vevői reklamáció</v>
          </cell>
          <cell r="I443" t="str">
            <v>incident u zákazníka</v>
          </cell>
          <cell r="J443" t="str">
            <v xml:space="preserve"> </v>
          </cell>
        </row>
        <row r="444">
          <cell r="A444">
            <v>443</v>
          </cell>
          <cell r="B444" t="str">
            <v>Process non capable</v>
          </cell>
          <cell r="C444" t="str">
            <v>Non capable process</v>
          </cell>
          <cell r="D444" t="str">
            <v>Proces niemożliwy do wykonania</v>
          </cell>
          <cell r="E444" t="str">
            <v>Proces non capabil</v>
          </cell>
          <cell r="F444" t="str">
            <v>Proceso no aceptable</v>
          </cell>
          <cell r="G444" t="str">
            <v>Processo não capaz</v>
          </cell>
          <cell r="H444" t="str">
            <v>Nem alkalmas folyamat</v>
          </cell>
          <cell r="I444" t="str">
            <v>neschopný proces</v>
          </cell>
          <cell r="J444" t="str">
            <v xml:space="preserve"> </v>
          </cell>
        </row>
        <row r="445">
          <cell r="A445">
            <v>444</v>
          </cell>
          <cell r="B445" t="str">
            <v>Incident interne</v>
          </cell>
          <cell r="C445" t="str">
            <v>Internal incident</v>
          </cell>
          <cell r="D445" t="str">
            <v>Zdarzenie wewnętrzne</v>
          </cell>
          <cell r="E445" t="str">
            <v>Incident intern</v>
          </cell>
          <cell r="F445" t="str">
            <v>Incidente interno</v>
          </cell>
          <cell r="G445" t="str">
            <v>Incidente Interno</v>
          </cell>
          <cell r="H445" t="str">
            <v>Belső eset</v>
          </cell>
          <cell r="I445" t="str">
            <v>incident interný</v>
          </cell>
          <cell r="J445" t="str">
            <v xml:space="preserve"> </v>
          </cell>
        </row>
        <row r="446">
          <cell r="A446">
            <v>445</v>
          </cell>
          <cell r="B446" t="str">
            <v>Modification process</v>
          </cell>
          <cell r="C446" t="str">
            <v>Process modification</v>
          </cell>
          <cell r="D446" t="str">
            <v>Modyfikacja procesu</v>
          </cell>
          <cell r="E446" t="str">
            <v>Modificare proces</v>
          </cell>
          <cell r="F446" t="str">
            <v>Modificación proceso</v>
          </cell>
          <cell r="G446" t="str">
            <v>Modificação do Processo</v>
          </cell>
          <cell r="H446" t="str">
            <v>Eljárás módosítás</v>
          </cell>
          <cell r="I446" t="str">
            <v>Modifikácie procesu</v>
          </cell>
          <cell r="J446" t="str">
            <v xml:space="preserve"> </v>
          </cell>
        </row>
        <row r="447">
          <cell r="A447">
            <v>446</v>
          </cell>
          <cell r="B447" t="str">
            <v>OPERATION(S) A EFFECTUER</v>
          </cell>
          <cell r="C447" t="str">
            <v>OPERATION(S) TO CARRY OUT</v>
          </cell>
          <cell r="D447" t="str">
            <v>CZYNNOŚCI DO WYKONANIA</v>
          </cell>
          <cell r="E447" t="str">
            <v>OPERATIUNE(I) DE EFECTUAT</v>
          </cell>
          <cell r="F447" t="str">
            <v>OPERACION(ES) A EFECTUAR</v>
          </cell>
          <cell r="G447" t="str">
            <v>OPERAÇÕES A REALIZAR</v>
          </cell>
          <cell r="H447" t="str">
            <v>OPERÁTOR(OK) VÉGEZ(NEK)</v>
          </cell>
          <cell r="I447" t="str">
            <v>OPERÁCIA NA VYKONANIE</v>
          </cell>
          <cell r="J447" t="str">
            <v xml:space="preserve"> </v>
          </cell>
        </row>
        <row r="448">
          <cell r="A448">
            <v>447</v>
          </cell>
          <cell r="B448" t="str">
            <v>En flux de production</v>
          </cell>
          <cell r="C448" t="str">
            <v>In production flow</v>
          </cell>
          <cell r="D448" t="str">
            <v>W toku produkcji</v>
          </cell>
          <cell r="E448" t="str">
            <v>In fluxul productiei</v>
          </cell>
          <cell r="F448" t="str">
            <v>En flujo de producción</v>
          </cell>
          <cell r="G448" t="str">
            <v>Em produção normal</v>
          </cell>
          <cell r="H448" t="str">
            <v>Gyártásban</v>
          </cell>
          <cell r="I448" t="str">
            <v>v toku výroby</v>
          </cell>
          <cell r="J448" t="str">
            <v xml:space="preserve"> </v>
          </cell>
        </row>
        <row r="449">
          <cell r="A449">
            <v>448</v>
          </cell>
          <cell r="B449" t="str">
            <v>En reprise</v>
          </cell>
          <cell r="C449" t="str">
            <v>In rework</v>
          </cell>
          <cell r="D449" t="str">
            <v>w naprawie</v>
          </cell>
          <cell r="E449" t="str">
            <v>In repriza</v>
          </cell>
          <cell r="F449" t="str">
            <v>En revisión</v>
          </cell>
          <cell r="G449" t="str">
            <v>Em re-trabalho</v>
          </cell>
          <cell r="H449" t="str">
            <v>Utómunkában</v>
          </cell>
          <cell r="I449" t="str">
            <v>na oprave</v>
          </cell>
          <cell r="J449" t="str">
            <v xml:space="preserve"> </v>
          </cell>
        </row>
        <row r="450">
          <cell r="A450">
            <v>449</v>
          </cell>
          <cell r="B450" t="str">
            <v>REPERAGE DES PRODUITS CONTROLES</v>
          </cell>
          <cell r="C450" t="str">
            <v>MARKING PRODUCTS INSPECTED</v>
          </cell>
          <cell r="D450" t="str">
            <v>OZNACZENIE SKONTROLOWANYCH PRODUKTOW</v>
          </cell>
          <cell r="E450" t="str">
            <v>REPERAJUL PRODUSELOR CONTROLATE</v>
          </cell>
          <cell r="F450" t="str">
            <v>MARCADO DE LOS PRODUCTOS CONTROLADOS</v>
          </cell>
          <cell r="G450" t="str">
            <v>IDENTIFICAÇÃO DOS PRODUTOS CONTROLADOS</v>
          </cell>
          <cell r="H450" t="str">
            <v>ELLENÖRZÖTT TERMÉKEK JELÖLÉSE</v>
          </cell>
          <cell r="I450" t="str">
            <v>OZNAČOVANIE KONTROLOVANÝCH PRODUKTOV</v>
          </cell>
          <cell r="J450" t="str">
            <v xml:space="preserve"> </v>
          </cell>
        </row>
        <row r="451">
          <cell r="A451">
            <v>450</v>
          </cell>
          <cell r="B451" t="str">
            <v>Pointage sur pièce</v>
          </cell>
          <cell r="C451" t="str">
            <v>Marking on part</v>
          </cell>
          <cell r="D451" t="str">
            <v>Oznaczenie na detalu</v>
          </cell>
          <cell r="E451" t="str">
            <v>Marcare pe piesa</v>
          </cell>
          <cell r="F451" t="str">
            <v>Marcaje sobre la pieza</v>
          </cell>
          <cell r="G451" t="str">
            <v>Marcação/ Identificação  unitária</v>
          </cell>
          <cell r="H451" t="str">
            <v>Jelölés a darabon</v>
          </cell>
          <cell r="I451" t="str">
            <v>puncovanie kusa</v>
          </cell>
          <cell r="J451" t="str">
            <v xml:space="preserve"> </v>
          </cell>
        </row>
        <row r="452">
          <cell r="A452">
            <v>451</v>
          </cell>
          <cell r="B452" t="str">
            <v>Feuille A4 (color)</v>
          </cell>
          <cell r="C452" t="str">
            <v>Sheet A4 (color)</v>
          </cell>
          <cell r="D452" t="str">
            <v>Arkusz A4 (kolor)</v>
          </cell>
          <cell r="E452" t="str">
            <v xml:space="preserve">Foaie A4 (color) </v>
          </cell>
          <cell r="F452" t="str">
            <v>Hoja A4 (color)</v>
          </cell>
          <cell r="G452" t="str">
            <v>Página A4 cor</v>
          </cell>
          <cell r="H452" t="str">
            <v xml:space="preserve"> A4 lap (színes)</v>
          </cell>
          <cell r="I452" t="str">
            <v>strana A4 ( farba )</v>
          </cell>
          <cell r="J452" t="str">
            <v xml:space="preserve"> </v>
          </cell>
        </row>
        <row r="453">
          <cell r="A453">
            <v>452</v>
          </cell>
          <cell r="B453" t="str">
            <v>Tampon vert "CERTIFIE CONFORME"</v>
          </cell>
          <cell r="C453" t="str">
            <v>Green stamp "CERTIFIED CONFORM"</v>
          </cell>
          <cell r="D453" t="str">
            <v>Zielona pieczęć "ZGODNA CERTYFIKACJA"</v>
          </cell>
          <cell r="E453" t="str">
            <v xml:space="preserve">Tampon verde "CERTIFICAT CONFORM" </v>
          </cell>
          <cell r="F453" t="str">
            <v xml:space="preserve">Tampon verde "CERTIFICADO CONFORME" </v>
          </cell>
          <cell r="G453" t="str">
            <v>Etiqueta verde - " PRODUTO CONFORME"!</v>
          </cell>
          <cell r="H453" t="str">
            <v>Bélyegzővel "ÁTVIZSGÁLVA"</v>
          </cell>
          <cell r="I453" t="str">
            <v>pečiatka zelená "CERTIFIKOVANÉ ZHODNÉ"</v>
          </cell>
          <cell r="J453" t="str">
            <v xml:space="preserve"> </v>
          </cell>
        </row>
        <row r="454">
          <cell r="A454">
            <v>453</v>
          </cell>
          <cell r="B454" t="str">
            <v>CONSEQUENCES ECONOMIQUES</v>
          </cell>
          <cell r="C454" t="str">
            <v>ECONOMICAL CONSEQUENCES</v>
          </cell>
          <cell r="D454" t="str">
            <v>KONSEKWENCJE EKONOMICZNE</v>
          </cell>
          <cell r="E454" t="str">
            <v>CONSECINTE ECONOMICE</v>
          </cell>
          <cell r="F454" t="str">
            <v>CONSEQUENCIAS ECONÓMICAS</v>
          </cell>
          <cell r="G454" t="str">
            <v>CONSEQUENCIAS ECONÓMICAS</v>
          </cell>
          <cell r="H454" t="str">
            <v>GAZDASÁGI KÖVETKEZMÉNYEK</v>
          </cell>
          <cell r="I454" t="str">
            <v>DÔSLEDOK EKONOMICKÝ</v>
          </cell>
          <cell r="J454" t="str">
            <v xml:space="preserve"> </v>
          </cell>
        </row>
        <row r="455">
          <cell r="A455">
            <v>454</v>
          </cell>
          <cell r="I455" t="str">
            <v>polyvalencia operátora</v>
          </cell>
          <cell r="J455" t="str">
            <v xml:space="preserve"> </v>
          </cell>
        </row>
        <row r="456">
          <cell r="A456">
            <v>455</v>
          </cell>
          <cell r="B456" t="str">
            <v>POLYVALENCE OPERATEUR</v>
          </cell>
          <cell r="C456" t="str">
            <v>Operator versatility</v>
          </cell>
          <cell r="D456" t="str">
            <v xml:space="preserve">WSZECHSTRONNOŚĆ OPERATORA   </v>
          </cell>
          <cell r="E456" t="str">
            <v>TABEL DE POLIVALENTA</v>
          </cell>
          <cell r="F456" t="str">
            <v>POLIVALENCIA DE OPERARIO</v>
          </cell>
          <cell r="G456" t="str">
            <v>POLIVALENCIA OPERADOR</v>
          </cell>
          <cell r="H456" t="str">
            <v>OKTATÁSI NAPLÓ</v>
          </cell>
          <cell r="I456" t="str">
            <v>POLYVALENCIA OPERÁTORA</v>
          </cell>
          <cell r="J456" t="str">
            <v xml:space="preserve"> </v>
          </cell>
        </row>
        <row r="457">
          <cell r="A457">
            <v>456</v>
          </cell>
          <cell r="B457" t="str">
            <v>N° ou intitulé du poste</v>
          </cell>
          <cell r="C457" t="str">
            <v>WORK STATION</v>
          </cell>
          <cell r="D457" t="str">
            <v>NR LUB NAZWA STANOWISKA</v>
          </cell>
          <cell r="E457" t="str">
            <v>NUMARUL SAU DENUMIREA POSTULUI</v>
          </cell>
          <cell r="F457" t="str">
            <v>N° O TÍTULO DEL PUESTO DE TRABAJO</v>
          </cell>
          <cell r="G457" t="str">
            <v>Posto de trabalho Nº.</v>
          </cell>
          <cell r="H457" t="str">
            <v>MUNKAHELY</v>
          </cell>
          <cell r="I457" t="str">
            <v>Číslo alebo názov prac.postu</v>
          </cell>
          <cell r="J457" t="str">
            <v xml:space="preserve"> </v>
          </cell>
        </row>
        <row r="458">
          <cell r="A458">
            <v>457</v>
          </cell>
          <cell r="B458" t="str">
            <v>NOM - PRENOM de l'opérateur</v>
          </cell>
          <cell r="C458" t="str">
            <v>Operator's NAME - SURNAME</v>
          </cell>
          <cell r="D458" t="str">
            <v>NAZWISKO - IMIĘ operatora</v>
          </cell>
          <cell r="E458" t="str">
            <v>NUME - PRENUME operator</v>
          </cell>
          <cell r="F458" t="str">
            <v>NOMBRE - APELLIDO del operario</v>
          </cell>
          <cell r="G458" t="str">
            <v>NOME do operdaor</v>
          </cell>
          <cell r="H458" t="str">
            <v>Operátor neve</v>
          </cell>
          <cell r="I458" t="str">
            <v xml:space="preserve"> --&gt; ..  … operátori slovakian ?</v>
          </cell>
          <cell r="J458" t="str">
            <v xml:space="preserve"> </v>
          </cell>
        </row>
        <row r="459">
          <cell r="A459">
            <v>458</v>
          </cell>
          <cell r="B459" t="str">
            <v>N° pointage</v>
          </cell>
          <cell r="C459" t="str">
            <v>Identif. Nb</v>
          </cell>
          <cell r="D459" t="str">
            <v>Nr operatora</v>
          </cell>
          <cell r="E459" t="str">
            <v>Nr. Pontaj</v>
          </cell>
          <cell r="F459" t="str">
            <v>N° puenteo</v>
          </cell>
          <cell r="G459" t="str">
            <v>Numero</v>
          </cell>
          <cell r="H459" t="str">
            <v>Azonosító N°</v>
          </cell>
          <cell r="I459" t="str">
            <v>Číslo razenia</v>
          </cell>
          <cell r="J459" t="str">
            <v xml:space="preserve"> </v>
          </cell>
        </row>
        <row r="460">
          <cell r="A460">
            <v>459</v>
          </cell>
          <cell r="B460" t="str">
            <v>Période de Formation (semaine)</v>
          </cell>
          <cell r="C460" t="str">
            <v>Training period (Week)</v>
          </cell>
          <cell r="D460" t="str">
            <v>Czas szkolenia (tydzień)</v>
          </cell>
          <cell r="E460" t="str">
            <v>Durata instruirii (saptamana)</v>
          </cell>
          <cell r="F460" t="str">
            <v>Períodos de formación (semana)</v>
          </cell>
          <cell r="G460" t="str">
            <v>Periodo de formação ( semanas)</v>
          </cell>
          <cell r="H460" t="str">
            <v>Betanulási idő (hét)</v>
          </cell>
          <cell r="I460" t="str">
            <v>Obdobie školenia ( týždeň )</v>
          </cell>
          <cell r="J460" t="str">
            <v xml:space="preserve"> </v>
          </cell>
        </row>
        <row r="461">
          <cell r="A461">
            <v>460</v>
          </cell>
          <cell r="B461" t="str">
            <v>Date de polyv.</v>
          </cell>
          <cell r="C461" t="str">
            <v>Versatility date</v>
          </cell>
          <cell r="D461" t="str">
            <v>Data poliwalencji</v>
          </cell>
          <cell r="E461" t="str">
            <v>Data de poliv.</v>
          </cell>
          <cell r="F461" t="str">
            <v>Fecha de polivalencia</v>
          </cell>
          <cell r="G461" t="str">
            <v>Data polivalencia</v>
          </cell>
          <cell r="H461" t="str">
            <v>Dátum napló</v>
          </cell>
          <cell r="I461" t="str">
            <v>Dátum polyvalencie</v>
          </cell>
          <cell r="J461" t="str">
            <v xml:space="preserve"> </v>
          </cell>
        </row>
        <row r="462">
          <cell r="A462">
            <v>461</v>
          </cell>
          <cell r="J462" t="str">
            <v xml:space="preserve"> </v>
          </cell>
        </row>
        <row r="463">
          <cell r="A463">
            <v>462</v>
          </cell>
          <cell r="B463" t="str">
            <v>SUIVI DES RECLAMATIONS</v>
          </cell>
          <cell r="C463" t="str">
            <v>Customer complaint follow up</v>
          </cell>
          <cell r="D463" t="str">
            <v>MONITORING REKLAMACJI</v>
          </cell>
          <cell r="E463" t="str">
            <v>URMARIREA RECLAMATIILOR</v>
          </cell>
          <cell r="F463" t="str">
            <v>SEGUIMIENTO DE RECLAMACIONES</v>
          </cell>
          <cell r="G463" t="str">
            <v>SEGUIMENTO DAS RECLAMAÇÕES</v>
          </cell>
          <cell r="H463" t="str">
            <v>VEVŐI REKLAMÁCIÓ KÖVETÉS</v>
          </cell>
          <cell r="I463" t="str">
            <v>SLEDOVANIE REKLAMÁCIÍ</v>
          </cell>
          <cell r="J463" t="str">
            <v xml:space="preserve"> </v>
          </cell>
        </row>
        <row r="464">
          <cell r="A464">
            <v>463</v>
          </cell>
          <cell r="B464" t="str">
            <v>N° FNC interne</v>
          </cell>
          <cell r="C464" t="str">
            <v>Internal NCF nb</v>
          </cell>
          <cell r="D464" t="str">
            <v>WEW.</v>
          </cell>
          <cell r="E464" t="str">
            <v>Nr.° FNC intern</v>
          </cell>
          <cell r="F464" t="str">
            <v>N° interna FNC</v>
          </cell>
          <cell r="G464" t="str">
            <v>Nº. Interno da não conformidade FNC</v>
          </cell>
          <cell r="H464" t="str">
            <v>Belső NCF száma</v>
          </cell>
          <cell r="I464" t="str">
            <v>Interné číslo NFC</v>
          </cell>
          <cell r="J464" t="str">
            <v xml:space="preserve"> </v>
          </cell>
        </row>
        <row r="465">
          <cell r="A465">
            <v>464</v>
          </cell>
          <cell r="B465" t="str">
            <v>Nature de l'incident</v>
          </cell>
          <cell r="C465" t="str">
            <v>Description of incident</v>
          </cell>
          <cell r="D465" t="str">
            <v>Opis problemu</v>
          </cell>
          <cell r="E465" t="str">
            <v>Natura incidentului</v>
          </cell>
          <cell r="F465" t="str">
            <v>Naturaleza del incidente</v>
          </cell>
          <cell r="G465" t="str">
            <v>Descrição do problema</v>
          </cell>
          <cell r="H465" t="str">
            <v>Reklamáció leírása</v>
          </cell>
          <cell r="I465" t="str">
            <v>popis incidentu</v>
          </cell>
          <cell r="J465" t="str">
            <v xml:space="preserve"> </v>
          </cell>
        </row>
        <row r="466">
          <cell r="A466">
            <v>465</v>
          </cell>
          <cell r="B466" t="str">
            <v>DATE ouverture FNC</v>
          </cell>
          <cell r="C466" t="str">
            <v>Opening date FNC</v>
          </cell>
          <cell r="D466" t="str">
            <v>DATA otwarcia FNC</v>
          </cell>
          <cell r="E466" t="str">
            <v>DATA deschid. FNC</v>
          </cell>
          <cell r="F466" t="str">
            <v>FECHA apertura FNC</v>
          </cell>
          <cell r="G466" t="str">
            <v>DATA de abertura</v>
          </cell>
          <cell r="H466" t="str">
            <v>FNC megnyitás dátuma</v>
          </cell>
          <cell r="I466" t="str">
            <v>Dátum otvorenia FNC</v>
          </cell>
          <cell r="J466" t="str">
            <v xml:space="preserve"> </v>
          </cell>
        </row>
        <row r="467">
          <cell r="A467">
            <v>466</v>
          </cell>
          <cell r="B467" t="str">
            <v xml:space="preserve">AC réalisées le </v>
          </cell>
          <cell r="C467" t="str">
            <v>CA carried out the</v>
          </cell>
          <cell r="D467" t="str">
            <v xml:space="preserve">Data realizacji dział.korekc. </v>
          </cell>
          <cell r="E467" t="str">
            <v>AC realizat</v>
          </cell>
          <cell r="F467" t="str">
            <v>AC realizado el</v>
          </cell>
          <cell r="G467" t="str">
            <v>Acções correctivas implementadas em:</v>
          </cell>
          <cell r="H467" t="str">
            <v xml:space="preserve">JI megval. dátuma </v>
          </cell>
          <cell r="I467" t="str">
            <v>nápravná akcia vykonané</v>
          </cell>
          <cell r="J467" t="str">
            <v xml:space="preserve"> </v>
          </cell>
        </row>
        <row r="468">
          <cell r="A468">
            <v>467</v>
          </cell>
          <cell r="J468" t="str">
            <v xml:space="preserve"> </v>
          </cell>
        </row>
        <row r="469">
          <cell r="A469">
            <v>468</v>
          </cell>
          <cell r="B469" t="str">
            <v>EVOLUTION DOSSIER TECHNIQUE</v>
          </cell>
          <cell r="C469" t="str">
            <v>Technical file modification</v>
          </cell>
          <cell r="D469" t="str">
            <v>ZMIANY W Dokumentacji Technicznej</v>
          </cell>
          <cell r="E469" t="str">
            <v>EVOLUTIA DOSARULUI TEHNIC</v>
          </cell>
          <cell r="F469" t="str">
            <v>EVOLUCIÓN DEL EXPEDIENTE TÉCNICO</v>
          </cell>
          <cell r="G469" t="str">
            <v>EVOLUÇÃO DO DOSSIER TECNICO.</v>
          </cell>
          <cell r="H469" t="str">
            <v>TECHNIKAI MÓDOSITÁS</v>
          </cell>
          <cell r="I469" t="str">
            <v>ZMENY V TECHNICKEJ DOKUMENTÁCII</v>
          </cell>
          <cell r="J469" t="str">
            <v xml:space="preserve"> </v>
          </cell>
        </row>
        <row r="470">
          <cell r="A470">
            <v>469</v>
          </cell>
          <cell r="B470" t="str">
            <v>Description de la modification</v>
          </cell>
          <cell r="C470" t="str">
            <v>Description of modification</v>
          </cell>
          <cell r="D470" t="str">
            <v>Opis zmian</v>
          </cell>
          <cell r="E470" t="str">
            <v>Descrierea modificarii</v>
          </cell>
          <cell r="F470" t="str">
            <v>Naturaleza de la evolución</v>
          </cell>
          <cell r="G470" t="str">
            <v>Descrição da modificação</v>
          </cell>
          <cell r="H470" t="str">
            <v>Módosítás leírása</v>
          </cell>
          <cell r="I470" t="str">
            <v>Popis modifikácie</v>
          </cell>
          <cell r="J470" t="str">
            <v xml:space="preserve"> </v>
          </cell>
        </row>
        <row r="471">
          <cell r="A471">
            <v>470</v>
          </cell>
          <cell r="B471" t="str">
            <v>Initialisation du Dossier Technique</v>
          </cell>
          <cell r="C471" t="str">
            <v>Creation of Technical File</v>
          </cell>
          <cell r="D471" t="str">
            <v>Stworzenie dokumentacji technicznej</v>
          </cell>
          <cell r="E471" t="str">
            <v>Initializare dosarului tehnic</v>
          </cell>
          <cell r="F471" t="str">
            <v>Inicio del Expediente Técnico</v>
          </cell>
          <cell r="G471" t="str">
            <v>Data de abertura do Dossier Tecnico</v>
          </cell>
          <cell r="H471" t="str">
            <v>Technikai akta létrehozása</v>
          </cell>
          <cell r="I471" t="str">
            <v>Inicializácia technickej dokumentácie</v>
          </cell>
          <cell r="J471" t="str">
            <v xml:space="preserve"> </v>
          </cell>
        </row>
        <row r="472">
          <cell r="A472">
            <v>471</v>
          </cell>
          <cell r="J472" t="str">
            <v xml:space="preserve"> </v>
          </cell>
        </row>
        <row r="473">
          <cell r="A473">
            <v>472</v>
          </cell>
          <cell r="B473" t="str">
            <v>FEUILLE DE RELEVE DE MESURES ET DE CONTROLES</v>
          </cell>
          <cell r="C473" t="str">
            <v>MEASUREMENT RESULTS FORM</v>
          </cell>
          <cell r="D473" t="str">
            <v>KARTA ZMIAN POMIARÓW I KONTROLI</v>
          </cell>
          <cell r="E473" t="str">
            <v>FISA MASURATORILOR SI A CONTROALELOR</v>
          </cell>
          <cell r="F473" t="str">
            <v>HOJA DE RESÚMEN DE MEDIDAS Y DE CONTROLES</v>
          </cell>
          <cell r="G473" t="str">
            <v>FOLHA DE REGISTO CONTROLO DIMENSIONAL E OUTROS</v>
          </cell>
          <cell r="H473" t="str">
            <v>MÉRÉSI NAPLÓ</v>
          </cell>
          <cell r="I473" t="str">
            <v>ZÁZNAM MERANIA A KONTROLY</v>
          </cell>
          <cell r="J473" t="str">
            <v xml:space="preserve"> </v>
          </cell>
        </row>
        <row r="474">
          <cell r="A474">
            <v>473</v>
          </cell>
          <cell r="B474" t="str">
            <v>SI UNE CARACTERISTIQUE EST HORS TOLERANCE, ENTOURER EN ROUGE LE POINT NON-CONFORME ET RENSEIGNER LE FEUILLE SQP</v>
          </cell>
          <cell r="C474" t="str">
            <v>IF ONE CHARACTERISTIC IS OUT OF SPECIFICATION SURROUND IT IN RED AND WRITE INFORMATION ON THE QPF</v>
          </cell>
          <cell r="D474" t="str">
            <v>JEŚLI WYNIKI SĄ POZA TOLERANCJĄ, ZAKREŚLIĆ NA CZERWONO PUNKTY NIEZGODNE I WYPEŁNIĆ KARTĘ SQP</v>
          </cell>
          <cell r="E474" t="str">
            <v>DACA O CARACTERISTICA ESTE IN AFARA TOLERANTEI, INCERCUITI CU ROSU PUNCTUL NECONFORM SI COMPLETATI FISA UCP</v>
          </cell>
          <cell r="F474" t="str">
            <v>SI PUNTO FUERA DE LA TOLERANCIA, RODEAR EN ROJO EL PUNTO NO CONFORME Y RESEÑAR LA HOJA SQP</v>
          </cell>
          <cell r="G474" t="str">
            <v>SE UMA CARACTERISTICA ESTÁ FORA DE TOLERÂNCIA,REALÇAR A VERMELHO O PONTO NÃO CONFORME E REGISTAR NO IMPRESSO SPQ.</v>
          </cell>
          <cell r="H474" t="str">
            <v>HA EGY SPECIFIKÁCIÓ NEM IGAZ, AKKOR KARIKÁZZA BE PIROSSAL ÉS ÍRJA AZ INFORMÁCIÓT A TERMELÉS MINŐSEG-KÖVETÉSE LAP</v>
          </cell>
          <cell r="I474" t="str">
            <v>AK JE JEDNA CHARAKTERISTIKA MIMO TOLERANCIE, ZAKRÚŽKOVAŤ ČERVENÝM BOD NEZHODY A UROBIŤ ZÁPIS DO SQP</v>
          </cell>
          <cell r="J474" t="str">
            <v xml:space="preserve"> </v>
          </cell>
        </row>
        <row r="475">
          <cell r="A475">
            <v>474</v>
          </cell>
          <cell r="B475" t="str">
            <v>Consigne : Prélever / Vérifier / Mesurer / Consigner / Décider</v>
          </cell>
          <cell r="C475" t="str">
            <v>Instruction : Take / Verify / Measure / Record / Decide</v>
          </cell>
          <cell r="D475" t="str">
            <v>Instrukcja : Pobrać próbki / Sprawdzić / Pomierzyć / Zachować / Zadecydować</v>
          </cell>
          <cell r="E475" t="str">
            <v>Consemn : Prelevati Verificati / Masurati / Consemnati / Decideti</v>
          </cell>
          <cell r="F475" t="str">
            <v>Consigna: Obtener/Verificar/Medir/Consignar/Decidir</v>
          </cell>
          <cell r="G475" t="str">
            <v>Instrucção: Amostragem/ Verificação/ Medição / Registo/ Decisão</v>
          </cell>
          <cell r="H475" t="str">
            <v>Utasítás : Elvesz / Ellenőriz / Megmér / Feljegyez / Dönt</v>
          </cell>
          <cell r="I475" t="str">
            <v>Nariadenie : Náhodne odobrať / Overiť / Merať / Zaznamenať / Rozhodnúť</v>
          </cell>
          <cell r="J475" t="str">
            <v xml:space="preserve"> </v>
          </cell>
        </row>
        <row r="476">
          <cell r="A476">
            <v>475</v>
          </cell>
          <cell r="B476" t="str">
            <v>Conditionnement et tracabilité</v>
          </cell>
          <cell r="C476" t="str">
            <v>Packaging and traceability</v>
          </cell>
          <cell r="D476" t="str">
            <v>Przechowywanie i identyfikowanie detalu</v>
          </cell>
          <cell r="E476" t="str">
            <v>Conditionare si trasabilitate</v>
          </cell>
          <cell r="F476" t="str">
            <v>Acondicionamiento y trazabilidad</v>
          </cell>
          <cell r="G476" t="str">
            <v>Embalagem e rastreabilidade</v>
          </cell>
          <cell r="H476" t="str">
            <v>Csomagolási és kezelési utasítás</v>
          </cell>
          <cell r="I476" t="str">
            <v>Balenie a trasabilita</v>
          </cell>
          <cell r="J476" t="str">
            <v xml:space="preserve"> </v>
          </cell>
        </row>
        <row r="477">
          <cell r="A477">
            <v>476</v>
          </cell>
          <cell r="B477" t="str">
            <v>Décision (X)</v>
          </cell>
          <cell r="C477" t="str">
            <v>Decision (X)</v>
          </cell>
          <cell r="D477" t="str">
            <v>Decyzja (X)</v>
          </cell>
          <cell r="E477" t="str">
            <v>Decizia (x)</v>
          </cell>
          <cell r="F477" t="str">
            <v>Decisión (x)</v>
          </cell>
          <cell r="G477" t="str">
            <v>Decisão (X)</v>
          </cell>
          <cell r="H477" t="str">
            <v>Döntés (x)</v>
          </cell>
          <cell r="I477" t="str">
            <v>Rozhodnutie ( X )</v>
          </cell>
          <cell r="J477" t="str">
            <v xml:space="preserve"> </v>
          </cell>
        </row>
        <row r="478">
          <cell r="A478">
            <v>477</v>
          </cell>
          <cell r="B478" t="str">
            <v>A = Accepté</v>
          </cell>
          <cell r="C478" t="str">
            <v>A = Accepted</v>
          </cell>
          <cell r="D478" t="str">
            <v>A = Zaakceptowany</v>
          </cell>
          <cell r="E478" t="str">
            <v xml:space="preserve">A = Acceptat </v>
          </cell>
          <cell r="F478" t="str">
            <v>A = Aceptado</v>
          </cell>
          <cell r="G478" t="str">
            <v>A= Aprovado</v>
          </cell>
          <cell r="H478" t="str">
            <v>A = Elfogadott</v>
          </cell>
          <cell r="I478" t="str">
            <v>A = akceptované</v>
          </cell>
          <cell r="J478" t="str">
            <v xml:space="preserve"> </v>
          </cell>
        </row>
        <row r="479">
          <cell r="A479">
            <v>478</v>
          </cell>
          <cell r="B479" t="str">
            <v>R = Refusé</v>
          </cell>
          <cell r="C479" t="str">
            <v>R = Refused</v>
          </cell>
          <cell r="D479" t="str">
            <v>R = Odrzucony</v>
          </cell>
          <cell r="E479" t="str">
            <v>R = Refuzat</v>
          </cell>
          <cell r="F479" t="str">
            <v>R = Rechazado</v>
          </cell>
          <cell r="G479" t="str">
            <v>R = Rejeitado</v>
          </cell>
          <cell r="H479" t="str">
            <v>R = Visszautasított</v>
          </cell>
          <cell r="I479" t="str">
            <v>R = odmietnuté</v>
          </cell>
          <cell r="J479" t="str">
            <v xml:space="preserve"> </v>
          </cell>
        </row>
        <row r="480">
          <cell r="A480">
            <v>479</v>
          </cell>
          <cell r="B480" t="str">
            <v>D = Dérogé</v>
          </cell>
          <cell r="C480" t="str">
            <v>D = Concessed</v>
          </cell>
          <cell r="D480" t="str">
            <v>D = Derogacja</v>
          </cell>
          <cell r="E480" t="str">
            <v>D = Derogat</v>
          </cell>
          <cell r="F480" t="str">
            <v>D = Derogación</v>
          </cell>
          <cell r="G480" t="str">
            <v>D = Aprovado sob derrogação</v>
          </cell>
          <cell r="H480" t="str">
            <v>D = Korlátozott</v>
          </cell>
          <cell r="I480" t="str">
            <v>D = dočasne povolené</v>
          </cell>
          <cell r="J480" t="str">
            <v xml:space="preserve"> </v>
          </cell>
        </row>
        <row r="481">
          <cell r="A481">
            <v>480</v>
          </cell>
          <cell r="B481" t="str">
            <v>Mode opératoire et auto-contrôle</v>
          </cell>
          <cell r="C481" t="str">
            <v>Working instruction and control</v>
          </cell>
          <cell r="D481" t="str">
            <v>Tryb pracy oraz samokontrola</v>
          </cell>
          <cell r="E481" t="str">
            <v>Mod de lucru si autocontrol</v>
          </cell>
          <cell r="F481" t="str">
            <v>Modo OP y autocontrol</v>
          </cell>
          <cell r="G481" t="str">
            <v>Modo operatório e de auto- controlo</v>
          </cell>
          <cell r="H481" t="str">
            <v>Munka és szabályozási utasítás</v>
          </cell>
          <cell r="I481" t="str">
            <v>Postup práce a autokontrola</v>
          </cell>
          <cell r="J481" t="str">
            <v xml:space="preserve"> </v>
          </cell>
        </row>
        <row r="482">
          <cell r="A482">
            <v>481</v>
          </cell>
          <cell r="B482" t="str">
            <v>FICHE DE REGLAGE INJECTION (Type) : ENGEL</v>
          </cell>
          <cell r="C482" t="str">
            <v>INJECTION ADJUSTMENT SHEET (Type) : ENGEL</v>
          </cell>
          <cell r="D482" t="str">
            <v>KARTA NASTAWIEN WTRYSKU (Ogólna) : ENGEL</v>
          </cell>
          <cell r="E482" t="str">
            <v>Fisa de  reglaj INJECTIEI (Tip) : ENGEL</v>
          </cell>
          <cell r="F482" t="str">
            <v>FICHA DE REGLAJE INYECCIÓN (Tipo) : ENGEL</v>
          </cell>
          <cell r="G482" t="str">
            <v>FICHA TECNICA DE INJECÇÃO MAQ. ENGEL</v>
          </cell>
          <cell r="H482" t="str">
            <v>FRÖCCSÖNTÕ TECHNOLÓGIAI LAP (típusonként) : ENGEL</v>
          </cell>
          <cell r="I482" t="str">
            <v>DOKUMENT NASTAVOVACÍ (TYP) : ENGEL</v>
          </cell>
          <cell r="J482" t="str">
            <v xml:space="preserve"> </v>
          </cell>
        </row>
        <row r="483">
          <cell r="A483">
            <v>482</v>
          </cell>
          <cell r="B483" t="str">
            <v>Nom de l'intervenant :</v>
          </cell>
          <cell r="C483" t="str">
            <v>Technician name :</v>
          </cell>
          <cell r="D483" t="str">
            <v>Nazwisko technologa</v>
          </cell>
          <cell r="E483" t="str">
            <v>Numele tehnicianului</v>
          </cell>
          <cell r="F483" t="str">
            <v>Nombre del interventor</v>
          </cell>
          <cell r="G483" t="str">
            <v>Nome do Tecnico Inj.</v>
          </cell>
          <cell r="H483" t="str">
            <v>Mérnõkség név</v>
          </cell>
          <cell r="J483" t="str">
            <v xml:space="preserve"> </v>
          </cell>
        </row>
        <row r="484">
          <cell r="A484">
            <v>483</v>
          </cell>
          <cell r="B484" t="str">
            <v xml:space="preserve">Presse N° :   </v>
          </cell>
          <cell r="C484" t="str">
            <v xml:space="preserve">Press Nber :   </v>
          </cell>
          <cell r="D484" t="str">
            <v>N°maszyny</v>
          </cell>
          <cell r="E484" t="str">
            <v>Numarul presei</v>
          </cell>
          <cell r="F484" t="str">
            <v>Prensa n° :</v>
          </cell>
          <cell r="G484" t="str">
            <v>Nº. Da Máquina:</v>
          </cell>
          <cell r="H484" t="str">
            <v>Gép Sz. :</v>
          </cell>
          <cell r="I484" t="str">
            <v>Č. Lis :</v>
          </cell>
          <cell r="J484" t="str">
            <v xml:space="preserve"> </v>
          </cell>
        </row>
        <row r="485">
          <cell r="A485">
            <v>484</v>
          </cell>
          <cell r="B485" t="str">
            <v>Matière :</v>
          </cell>
          <cell r="C485" t="str">
            <v>Raw material :</v>
          </cell>
          <cell r="D485" t="str">
            <v>Surowiec</v>
          </cell>
          <cell r="E485" t="str">
            <v>Materie prima</v>
          </cell>
          <cell r="F485" t="str">
            <v>Material :</v>
          </cell>
          <cell r="G485" t="str">
            <v>Matéria -Prima</v>
          </cell>
          <cell r="H485" t="str">
            <v>Alapanyag :</v>
          </cell>
          <cell r="I485" t="str">
            <v>Hmota :</v>
          </cell>
          <cell r="J485" t="str">
            <v xml:space="preserve"> </v>
          </cell>
        </row>
        <row r="486">
          <cell r="A486">
            <v>485</v>
          </cell>
          <cell r="B486" t="str">
            <v>Matière recyclée autorisée :</v>
          </cell>
          <cell r="C486" t="str">
            <v>Recycled material allowed :</v>
          </cell>
          <cell r="D486" t="str">
            <v>Dozwolowy materiał z recyklingu :</v>
          </cell>
          <cell r="E486" t="str">
            <v>Material reciclat permis</v>
          </cell>
          <cell r="F486" t="str">
            <v>Material reciclado autorizado :</v>
          </cell>
          <cell r="G486" t="str">
            <v>Uso de reciclado autorizado:</v>
          </cell>
          <cell r="H486" t="str">
            <v>Engedélyezett darálék mennyiség</v>
          </cell>
          <cell r="I486" t="str">
            <v>Hmota recirkulovat dovolený :</v>
          </cell>
          <cell r="J486" t="str">
            <v xml:space="preserve"> </v>
          </cell>
        </row>
        <row r="487">
          <cell r="A487">
            <v>486</v>
          </cell>
          <cell r="B487" t="str">
            <v>Etuvage : Température :</v>
          </cell>
          <cell r="C487" t="str">
            <v>Pre Drying : Temperature :</v>
          </cell>
          <cell r="D487" t="str">
            <v>Suszenie : Temperatura :</v>
          </cell>
          <cell r="E487" t="str">
            <v>Temperatura de pre-uscare</v>
          </cell>
          <cell r="F487" t="str">
            <v>Estufado : Temperatura</v>
          </cell>
          <cell r="G487" t="str">
            <v>Estufagem:- Temperatura</v>
          </cell>
          <cell r="H487" t="str">
            <v>Hőmérséklet : Szárítási :</v>
          </cell>
          <cell r="I487" t="str">
            <v>Susenie : Teploty :</v>
          </cell>
          <cell r="J487" t="str">
            <v xml:space="preserve"> </v>
          </cell>
        </row>
        <row r="488">
          <cell r="A488">
            <v>487</v>
          </cell>
          <cell r="B488" t="str">
            <v>Durée</v>
          </cell>
          <cell r="C488" t="str">
            <v>Time</v>
          </cell>
          <cell r="D488" t="str">
            <v>Czas</v>
          </cell>
          <cell r="E488" t="str">
            <v>Durata</v>
          </cell>
          <cell r="F488" t="str">
            <v>Tiempo</v>
          </cell>
          <cell r="G488" t="str">
            <v>Tempo</v>
          </cell>
          <cell r="H488" t="str">
            <v>Idó</v>
          </cell>
          <cell r="I488" t="str">
            <v>Doba</v>
          </cell>
          <cell r="J488" t="str">
            <v xml:space="preserve"> </v>
          </cell>
        </row>
        <row r="489">
          <cell r="A489">
            <v>488</v>
          </cell>
          <cell r="B489" t="str">
            <v>FERMETURE, OUVERTURE, EJECTION</v>
          </cell>
          <cell r="C489" t="str">
            <v>CLOSING, OPENING, EJECTION</v>
          </cell>
          <cell r="D489" t="str">
            <v>ZAMKNIĘCIA, OTWARCIA, WYRZUTNIKA</v>
          </cell>
          <cell r="E489" t="str">
            <v>INCHIDERE, DESCHIDERE, EVACUARE</v>
          </cell>
          <cell r="F489" t="str">
            <v>CIERRE, APERTURA, EXPULSIÓN</v>
          </cell>
          <cell r="G489" t="str">
            <v>FECHO, ABERTURA, EXTRACÇÃO</v>
          </cell>
          <cell r="H489" t="str">
            <v>ZÁRÓ, NYATÁSI, KILÖKÕ</v>
          </cell>
          <cell r="I489" t="str">
            <v>ZATVÁRANIE, OTVÁRANIE, VYHADZOVAČ</v>
          </cell>
          <cell r="J489" t="str">
            <v xml:space="preserve"> </v>
          </cell>
        </row>
        <row r="490">
          <cell r="A490">
            <v>489</v>
          </cell>
          <cell r="B490" t="str">
            <v>Force fermeture :</v>
          </cell>
          <cell r="C490" t="str">
            <v>Clamping Force :</v>
          </cell>
          <cell r="D490" t="str">
            <v>Siła zamkniecia :</v>
          </cell>
          <cell r="E490" t="str">
            <v>Forta de prindere</v>
          </cell>
          <cell r="F490" t="str">
            <v>Fuerza de cierre</v>
          </cell>
          <cell r="G490" t="str">
            <v>Força de Fecho:</v>
          </cell>
          <cell r="H490" t="str">
            <v>Záróerõ :</v>
          </cell>
          <cell r="I490" t="str">
            <v>Zatváranie sila :</v>
          </cell>
          <cell r="J490" t="str">
            <v xml:space="preserve"> </v>
          </cell>
        </row>
        <row r="491">
          <cell r="A491">
            <v>490</v>
          </cell>
          <cell r="B491" t="str">
            <v>Pression de moule :</v>
          </cell>
          <cell r="C491" t="str">
            <v>mould Pressure :</v>
          </cell>
          <cell r="D491" t="str">
            <v>Ciśnienie formy :</v>
          </cell>
          <cell r="E491" t="str">
            <v>Presiune matrita :</v>
          </cell>
          <cell r="F491" t="str">
            <v>Presión de molde :</v>
          </cell>
          <cell r="G491" t="str">
            <v>Força de fecho do molde:</v>
          </cell>
          <cell r="H491" t="str">
            <v>Szerszám nyomás :</v>
          </cell>
          <cell r="I491" t="str">
            <v>Tlak formy :</v>
          </cell>
          <cell r="J491" t="str">
            <v xml:space="preserve"> </v>
          </cell>
        </row>
        <row r="492">
          <cell r="A492">
            <v>491</v>
          </cell>
          <cell r="B492" t="str">
            <v>Vitesse fermeture</v>
          </cell>
          <cell r="C492" t="str">
            <v>Closing Speed</v>
          </cell>
          <cell r="D492" t="str">
            <v>Prędkość zamkniecia</v>
          </cell>
          <cell r="E492" t="str">
            <v>Viteza de inchidere</v>
          </cell>
          <cell r="F492" t="str">
            <v>Velocidad de cierre</v>
          </cell>
          <cell r="G492" t="str">
            <v>Velocidade de fecho</v>
          </cell>
          <cell r="H492" t="str">
            <v>Zárósebesség</v>
          </cell>
          <cell r="I492" t="str">
            <v>Rýchlosť Zatvor.</v>
          </cell>
          <cell r="J492" t="str">
            <v xml:space="preserve"> </v>
          </cell>
        </row>
        <row r="493">
          <cell r="A493">
            <v>492</v>
          </cell>
          <cell r="B493" t="str">
            <v>Départ vitesse  W3 :</v>
          </cell>
          <cell r="C493" t="str">
            <v>Speed Outset  W3 :</v>
          </cell>
          <cell r="D493" t="str">
            <v>Prędkość początkowa W3</v>
          </cell>
          <cell r="E493" t="str">
            <v>Segment de viteza W3</v>
          </cell>
          <cell r="F493" t="str">
            <v>Velocidad de salida W3</v>
          </cell>
          <cell r="G493" t="str">
            <v>inicio velocidade W3</v>
          </cell>
          <cell r="H493" t="str">
            <v xml:space="preserve"> --&gt; hungarian ?</v>
          </cell>
          <cell r="I493" t="str">
            <v>Začiatok Rýchlosť W3 :</v>
          </cell>
          <cell r="J493" t="str">
            <v xml:space="preserve"> </v>
          </cell>
        </row>
        <row r="494">
          <cell r="A494">
            <v>493</v>
          </cell>
          <cell r="B494" t="str">
            <v>Course et temps protection moule  G1 :</v>
          </cell>
          <cell r="C494" t="str">
            <v>Stroke and mould protection time  G1 :</v>
          </cell>
          <cell r="D494" t="str">
            <v>Droga i czas ochrony formy G1</v>
          </cell>
          <cell r="E494" t="str">
            <v>Cursa de protectia inchidere matrita G1:</v>
          </cell>
          <cell r="F494" t="str">
            <v>Carrera y tiempo de protección molde G1:</v>
          </cell>
          <cell r="G494" t="str">
            <v>curso e tempo de segurança de moule</v>
          </cell>
          <cell r="H494" t="str">
            <v xml:space="preserve"> --&gt; hungarian ?</v>
          </cell>
          <cell r="I494" t="str">
            <v>Dráha čas ochrany Formy G1 :</v>
          </cell>
          <cell r="J494" t="str">
            <v xml:space="preserve"> </v>
          </cell>
        </row>
        <row r="495">
          <cell r="A495">
            <v>494</v>
          </cell>
          <cell r="B495" t="str">
            <v>Pression protection moule  :</v>
          </cell>
          <cell r="C495" t="str">
            <v>Mould protection pressure :</v>
          </cell>
          <cell r="D495" t="str">
            <v>Ciśnienie zabezpieczenia formy</v>
          </cell>
          <cell r="E495" t="str">
            <v>Presiune de protectie matrita :</v>
          </cell>
          <cell r="F495" t="str">
            <v>Presión protección molde :</v>
          </cell>
          <cell r="G495" t="str">
            <v>Pressão de segurança do molde</v>
          </cell>
          <cell r="H495" t="str">
            <v>Szerszám protection nyomás :</v>
          </cell>
          <cell r="I495" t="str">
            <v>Tlak ochrany formy :</v>
          </cell>
          <cell r="J495" t="str">
            <v xml:space="preserve"> </v>
          </cell>
        </row>
        <row r="496">
          <cell r="A496">
            <v>495</v>
          </cell>
          <cell r="B496" t="str">
            <v>Fin protection moule genouillère :</v>
          </cell>
          <cell r="C496" t="str">
            <v>End of protection toggle lever :</v>
          </cell>
          <cell r="D496" t="str">
            <v>Zakończenie ochrony dźwigni kolanowej?</v>
          </cell>
          <cell r="E496" t="str">
            <v>Sfarsitul protectiei masinii cu genunchi</v>
          </cell>
          <cell r="F496" t="str">
            <v>Final protección molde rodillera :</v>
          </cell>
          <cell r="G496" t="str">
            <v>fim protecção molde joelheira</v>
          </cell>
          <cell r="H496" t="str">
            <v xml:space="preserve"> --&gt; hungarian ?</v>
          </cell>
          <cell r="I496" t="str">
            <v>Koniec ochrany formy kolenová páka :</v>
          </cell>
          <cell r="J496" t="str">
            <v xml:space="preserve"> </v>
          </cell>
        </row>
        <row r="497">
          <cell r="A497">
            <v>496</v>
          </cell>
          <cell r="B497" t="str">
            <v>Vitesse ouverture</v>
          </cell>
          <cell r="C497" t="str">
            <v>Opening speed</v>
          </cell>
          <cell r="D497" t="str">
            <v>Prędkość otwarcia</v>
          </cell>
          <cell r="E497" t="str">
            <v>Viteza deschidere</v>
          </cell>
          <cell r="F497" t="str">
            <v>Velocidad de apertura</v>
          </cell>
          <cell r="G497" t="str">
            <v>Velocidade de abertura</v>
          </cell>
          <cell r="H497" t="str">
            <v>Nyitasi sebesség</v>
          </cell>
          <cell r="I497" t="str">
            <v>Rýchlosť otváranie</v>
          </cell>
          <cell r="J497" t="str">
            <v xml:space="preserve"> </v>
          </cell>
        </row>
        <row r="498">
          <cell r="A498">
            <v>497</v>
          </cell>
          <cell r="B498" t="str">
            <v>Départ vitesse  W6 :</v>
          </cell>
          <cell r="C498" t="str">
            <v>Speed outset  W6 :</v>
          </cell>
          <cell r="D498" t="str">
            <v>Prędkość początkowa W6</v>
          </cell>
          <cell r="E498" t="str">
            <v>Segment de viteza W6</v>
          </cell>
          <cell r="F498" t="str">
            <v>Velocidad salida W6:</v>
          </cell>
          <cell r="G498" t="str">
            <v>inicio velocidade W6</v>
          </cell>
          <cell r="H498" t="str">
            <v xml:space="preserve"> --&gt; hungarian ?</v>
          </cell>
          <cell r="I498" t="str">
            <v>Začiatok Rýchlosť W6 :</v>
          </cell>
          <cell r="J498" t="str">
            <v xml:space="preserve"> </v>
          </cell>
        </row>
        <row r="499">
          <cell r="A499">
            <v>498</v>
          </cell>
          <cell r="B499" t="str">
            <v>Course d'ouverture</v>
          </cell>
          <cell r="C499" t="str">
            <v>Opening stroke</v>
          </cell>
          <cell r="D499" t="str">
            <v>Bieg otwarcia</v>
          </cell>
          <cell r="E499" t="str">
            <v>Cursa de deschidere</v>
          </cell>
          <cell r="F499" t="str">
            <v>Carrera de apertura</v>
          </cell>
          <cell r="G499" t="str">
            <v>Curso de abertura</v>
          </cell>
          <cell r="H499" t="str">
            <v>Nyitasi út</v>
          </cell>
          <cell r="I499" t="str">
            <v>Rozsah otváranie</v>
          </cell>
          <cell r="J499" t="str">
            <v xml:space="preserve"> </v>
          </cell>
        </row>
        <row r="500">
          <cell r="A500">
            <v>499</v>
          </cell>
          <cell r="B500" t="str">
            <v>Départ éjecteur</v>
          </cell>
          <cell r="C500" t="str">
            <v>Ejector pins outset</v>
          </cell>
          <cell r="D500" t="str">
            <v>Pozycja wyjściowa wypychaczy</v>
          </cell>
          <cell r="E500" t="str">
            <v>Plecarea aruncatorului</v>
          </cell>
          <cell r="F500" t="str">
            <v>Salida de expulsores</v>
          </cell>
          <cell r="G500" t="str">
            <v>Inicio extracção</v>
          </cell>
          <cell r="H500" t="str">
            <v xml:space="preserve"> --&gt; hungarian ?</v>
          </cell>
          <cell r="I500" t="str">
            <v>Začiatok vyhadzovač</v>
          </cell>
          <cell r="J500" t="str">
            <v xml:space="preserve"> </v>
          </cell>
        </row>
        <row r="501">
          <cell r="A501">
            <v>500</v>
          </cell>
          <cell r="B501" t="str">
            <v xml:space="preserve">Course d'éjection réelle : </v>
          </cell>
          <cell r="C501" t="str">
            <v xml:space="preserve">Real ejection stroke : </v>
          </cell>
          <cell r="D501" t="str">
            <v>Realna droga wyjazdu wyrzutnika</v>
          </cell>
          <cell r="E501" t="str">
            <v>Cursa de aruncare reala :</v>
          </cell>
          <cell r="F501" t="str">
            <v>Carrera de expulsión real:</v>
          </cell>
          <cell r="G501" t="str">
            <v>Curso real de extracção</v>
          </cell>
          <cell r="H501" t="str">
            <v xml:space="preserve"> --&gt; hungarian ?</v>
          </cell>
          <cell r="I501" t="str">
            <v>Zpozdeni vyhazovace :</v>
          </cell>
          <cell r="J501" t="str">
            <v xml:space="preserve"> </v>
          </cell>
        </row>
        <row r="502">
          <cell r="A502">
            <v>501</v>
          </cell>
          <cell r="B502" t="str">
            <v>Rappel éjection :</v>
          </cell>
          <cell r="C502" t="str">
            <v>Return pin :</v>
          </cell>
          <cell r="D502" t="str">
            <v>powrót wyrzutnika</v>
          </cell>
          <cell r="E502" t="str">
            <v>Rapel aruncare:</v>
          </cell>
          <cell r="F502" t="str">
            <v>Retorno expulsor :</v>
          </cell>
          <cell r="G502" t="str">
            <v>Recuo extracção</v>
          </cell>
          <cell r="H502" t="str">
            <v xml:space="preserve"> --&gt; hungarian ?</v>
          </cell>
          <cell r="I502" t="str">
            <v>Počitadlo vyhadzovania :</v>
          </cell>
          <cell r="J502" t="str">
            <v xml:space="preserve"> </v>
          </cell>
        </row>
        <row r="503">
          <cell r="A503">
            <v>502</v>
          </cell>
          <cell r="B503" t="str">
            <v>Vitesse éjecteur  avant  V25 :</v>
          </cell>
          <cell r="C503" t="str">
            <v>Ejector speed forward V25 :</v>
          </cell>
          <cell r="D503" t="str">
            <v>Prędkość wypychacza przed V25</v>
          </cell>
          <cell r="E503" t="str">
            <v>Viteza aruncatorului  inainte de V25 :</v>
          </cell>
          <cell r="F503" t="str">
            <v>Velocidad de expulsión  antes V25</v>
          </cell>
          <cell r="G503" t="str">
            <v>Velocidade de avanço dos extractores V25:</v>
          </cell>
          <cell r="H503" t="str">
            <v xml:space="preserve"> --&gt; hungarian ?</v>
          </cell>
          <cell r="I503" t="str">
            <v>Rýchlosť vyhadz. vpred V25 :</v>
          </cell>
          <cell r="J503" t="str">
            <v xml:space="preserve"> </v>
          </cell>
        </row>
        <row r="504">
          <cell r="A504">
            <v>503</v>
          </cell>
          <cell r="B504" t="str">
            <v>Pression éjecteur : avant  P25 :</v>
          </cell>
          <cell r="C504" t="str">
            <v>Ejector pressure forward  P25 :</v>
          </cell>
          <cell r="D504" t="str">
            <v>Ciśnienie wypychacza przed P25</v>
          </cell>
          <cell r="E504" t="str">
            <v>Presiunea aruncatorului : inainte de P25</v>
          </cell>
          <cell r="F504" t="str">
            <v>Presión de expulsión: antes P25:</v>
          </cell>
          <cell r="G504" t="str">
            <v>Pressão de avanço da Extracção</v>
          </cell>
          <cell r="H504" t="str">
            <v xml:space="preserve"> --&gt; hungarian ?</v>
          </cell>
          <cell r="I504" t="str">
            <v>Tlak vyhadz. vpred P25 :</v>
          </cell>
          <cell r="J504" t="str">
            <v xml:space="preserve"> </v>
          </cell>
        </row>
        <row r="505">
          <cell r="A505">
            <v>504</v>
          </cell>
          <cell r="B505" t="str">
            <v>retour V26 :</v>
          </cell>
          <cell r="C505" t="str">
            <v>return V26 :</v>
          </cell>
          <cell r="D505" t="str">
            <v>powrót V26</v>
          </cell>
          <cell r="E505" t="str">
            <v>Intoarcerea V26 :</v>
          </cell>
          <cell r="F505" t="str">
            <v>retorno V26</v>
          </cell>
          <cell r="G505" t="str">
            <v>Velocidade de retorno da extracção</v>
          </cell>
          <cell r="H505" t="str">
            <v xml:space="preserve"> --&gt; hungarian ?</v>
          </cell>
          <cell r="I505" t="str">
            <v>Vzad V26 :</v>
          </cell>
          <cell r="J505" t="str">
            <v xml:space="preserve"> </v>
          </cell>
        </row>
        <row r="506">
          <cell r="A506">
            <v>505</v>
          </cell>
          <cell r="B506" t="str">
            <v>retour P26 :</v>
          </cell>
          <cell r="C506" t="str">
            <v>return P26 :</v>
          </cell>
          <cell r="D506" t="str">
            <v>powrót P26</v>
          </cell>
          <cell r="E506" t="str">
            <v>Intoarcerea P26 :</v>
          </cell>
          <cell r="F506" t="str">
            <v>retorno p26</v>
          </cell>
          <cell r="G506" t="str">
            <v>Pressão de retorno da extracção</v>
          </cell>
          <cell r="H506" t="str">
            <v xml:space="preserve"> --&gt; hungarian ?</v>
          </cell>
          <cell r="I506" t="str">
            <v>Vzad P26 :</v>
          </cell>
          <cell r="J506" t="str">
            <v xml:space="preserve"> </v>
          </cell>
        </row>
        <row r="507">
          <cell r="A507">
            <v>506</v>
          </cell>
          <cell r="B507" t="str">
            <v>INJECTION, DOSAGE</v>
          </cell>
          <cell r="C507" t="str">
            <v>INJECTION, DOSAGE</v>
          </cell>
          <cell r="D507" t="str">
            <v>WTRYSK, DOZOWANIA</v>
          </cell>
          <cell r="E507" t="str">
            <v>INJECTIE, DOZARE</v>
          </cell>
          <cell r="F507" t="str">
            <v>inyección, dosificación</v>
          </cell>
          <cell r="G507" t="str">
            <v>INJECÇAO, DOSAGEM</v>
          </cell>
          <cell r="H507" t="str">
            <v>FRÖCCSÖNTÕ, ADAG</v>
          </cell>
          <cell r="I507" t="str">
            <v>VSTREKOVANIE, DÁVKOVANIE</v>
          </cell>
          <cell r="J507" t="str">
            <v xml:space="preserve"> </v>
          </cell>
        </row>
        <row r="508">
          <cell r="A508">
            <v>507</v>
          </cell>
          <cell r="B508" t="str">
            <v>Pression augmentée :</v>
          </cell>
          <cell r="C508" t="str">
            <v>Boosting pressure :</v>
          </cell>
          <cell r="D508" t="str">
            <v>Wzrost ciśnienia</v>
          </cell>
          <cell r="E508" t="str">
            <v>Supra presiune</v>
          </cell>
          <cell r="F508" t="str">
            <v>Presión aumentada</v>
          </cell>
          <cell r="G508" t="str">
            <v>Pressão aumentada</v>
          </cell>
          <cell r="H508" t="str">
            <v>Boosting nyomás :</v>
          </cell>
          <cell r="I508" t="str">
            <v>Zvýšený tlak :</v>
          </cell>
          <cell r="J508" t="str">
            <v xml:space="preserve"> </v>
          </cell>
        </row>
        <row r="509">
          <cell r="A509">
            <v>508</v>
          </cell>
          <cell r="B509" t="str">
            <v>Vitesse injection :</v>
          </cell>
          <cell r="C509" t="str">
            <v>Injection speed :</v>
          </cell>
          <cell r="D509" t="str">
            <v>Prędkość wtrysku :</v>
          </cell>
          <cell r="E509" t="str">
            <v>Viteza de injectie</v>
          </cell>
          <cell r="F509" t="str">
            <v>Velocidad de inyección</v>
          </cell>
          <cell r="G509" t="str">
            <v>Velocidade de injecção</v>
          </cell>
          <cell r="H509" t="str">
            <v>Fröccssebesség :</v>
          </cell>
          <cell r="I509" t="str">
            <v>Rýchlosť vstrekovanie</v>
          </cell>
          <cell r="J509" t="str">
            <v xml:space="preserve"> </v>
          </cell>
        </row>
        <row r="510">
          <cell r="A510">
            <v>509</v>
          </cell>
          <cell r="B510" t="str">
            <v>Limite de pression d'injection P6 :</v>
          </cell>
          <cell r="C510" t="str">
            <v>Injection pressure limit  P6 :</v>
          </cell>
          <cell r="D510" t="str">
            <v>Limit ciśnienia wtrysku P6</v>
          </cell>
          <cell r="E510" t="str">
            <v xml:space="preserve">Presiune limita de injectie P6 </v>
          </cell>
          <cell r="F510" t="str">
            <v>Limite de presión de inyección P6</v>
          </cell>
          <cell r="G510" t="str">
            <v>Pressão limite de injecção P6:</v>
          </cell>
          <cell r="H510" t="str">
            <v>Fröccsnyomás limit P6 :</v>
          </cell>
          <cell r="I510" t="str">
            <v>Tlakový limit nástreku P6 :</v>
          </cell>
          <cell r="J510" t="str">
            <v xml:space="preserve"> </v>
          </cell>
        </row>
        <row r="511">
          <cell r="A511">
            <v>510</v>
          </cell>
          <cell r="B511" t="str">
            <v>Commutation en course :</v>
          </cell>
          <cell r="C511" t="str">
            <v>Switchover stroke :</v>
          </cell>
          <cell r="D511" t="str">
            <v>Przełączanie w trakcie</v>
          </cell>
          <cell r="E511" t="str">
            <v>Comutare in cursa :</v>
          </cell>
          <cell r="F511" t="str">
            <v>Conmutación en curso</v>
          </cell>
          <cell r="G511" t="str">
            <v>Comutação por curso</v>
          </cell>
          <cell r="H511" t="str">
            <v xml:space="preserve"> --&gt; hungarian ?</v>
          </cell>
          <cell r="I511" t="str">
            <v>Rozsah Prepnutia :</v>
          </cell>
          <cell r="J511" t="str">
            <v xml:space="preserve"> </v>
          </cell>
        </row>
        <row r="512">
          <cell r="A512">
            <v>511</v>
          </cell>
          <cell r="B512" t="str">
            <v>* Tolerances matelas :  min :</v>
          </cell>
          <cell r="C512" t="str">
            <v>* Cushion Tolerances :  min :</v>
          </cell>
          <cell r="D512" t="str">
            <v xml:space="preserve">* Tolerancje poduszek : min : </v>
          </cell>
          <cell r="E512" t="str">
            <v>* Toleranta pernei de material :  minim :</v>
          </cell>
          <cell r="F512" t="str">
            <v>Tolerancia cojín :  min. :</v>
          </cell>
          <cell r="G512" t="str">
            <v>Tolerancias almofada: min.</v>
          </cell>
          <cell r="H512" t="str">
            <v xml:space="preserve"> --&gt; hungarian ?</v>
          </cell>
          <cell r="J512" t="str">
            <v xml:space="preserve"> </v>
          </cell>
        </row>
        <row r="513">
          <cell r="A513">
            <v>512</v>
          </cell>
          <cell r="B513" t="str">
            <v>Commutation pression hydraulique :</v>
          </cell>
          <cell r="C513" t="str">
            <v>Switchover hydraulic pressure :</v>
          </cell>
          <cell r="D513" t="str">
            <v>Przełącznik ciśnieniowy</v>
          </cell>
          <cell r="E513" t="str">
            <v>Commutarea presiunii hidraulice :</v>
          </cell>
          <cell r="F513" t="str">
            <v>Conmutación presión hidráulica:</v>
          </cell>
          <cell r="G513" t="str">
            <v>Pressão hidraulica de comutação</v>
          </cell>
          <cell r="H513" t="str">
            <v>Switchover hidraulik nyomás :</v>
          </cell>
          <cell r="I513" t="str">
            <v>Prepnutie podl'a hydr tlaku :</v>
          </cell>
          <cell r="J513" t="str">
            <v xml:space="preserve"> </v>
          </cell>
        </row>
        <row r="514">
          <cell r="A514">
            <v>513</v>
          </cell>
          <cell r="B514" t="str">
            <v>Gamme de commutation : C3b :</v>
          </cell>
          <cell r="C514" t="str">
            <v>Switchover range : C3b :</v>
          </cell>
          <cell r="D514" t="str">
            <v>Przełączanie zakresów : C3b</v>
          </cell>
          <cell r="E514" t="str">
            <v>Gama de commutare : C3b :</v>
          </cell>
          <cell r="F514" t="str">
            <v>Gamma de conmutación:C3b:</v>
          </cell>
          <cell r="G514" t="str">
            <v>Deslocamento de comutação</v>
          </cell>
          <cell r="H514" t="str">
            <v xml:space="preserve"> --&gt; hungarian ?</v>
          </cell>
          <cell r="I514" t="str">
            <v>Škála prepnutia : C3b :</v>
          </cell>
          <cell r="J514" t="str">
            <v xml:space="preserve"> </v>
          </cell>
        </row>
        <row r="515">
          <cell r="A515">
            <v>514</v>
          </cell>
          <cell r="B515" t="str">
            <v>Postpression :</v>
          </cell>
          <cell r="C515" t="str">
            <v>Holding pressure :</v>
          </cell>
          <cell r="D515" t="str">
            <v xml:space="preserve">Ciśnienie docisku : </v>
          </cell>
          <cell r="E515" t="str">
            <v>Postpresiune :</v>
          </cell>
          <cell r="F515" t="str">
            <v>Pospresión:</v>
          </cell>
          <cell r="G515" t="str">
            <v>2ª pressão</v>
          </cell>
          <cell r="H515" t="str">
            <v>Holding nyomás :</v>
          </cell>
          <cell r="J515" t="str">
            <v xml:space="preserve"> </v>
          </cell>
        </row>
        <row r="516">
          <cell r="A516">
            <v>515</v>
          </cell>
          <cell r="B516" t="str">
            <v>Course de dosage C1 :</v>
          </cell>
          <cell r="C516" t="str">
            <v>Dosage stroke C1 :</v>
          </cell>
          <cell r="D516" t="str">
            <v>Bieg dozowania C1 :</v>
          </cell>
          <cell r="E516" t="str">
            <v>Cursa de dozare C1 :</v>
          </cell>
          <cell r="F516" t="str">
            <v>Carrera de dosificación C1:</v>
          </cell>
          <cell r="G516" t="str">
            <v>Dosagem</v>
          </cell>
          <cell r="H516" t="str">
            <v>Adag Út</v>
          </cell>
          <cell r="I516" t="str">
            <v>Rozsah dávkovania C1 :</v>
          </cell>
          <cell r="J516" t="str">
            <v xml:space="preserve"> </v>
          </cell>
        </row>
        <row r="517">
          <cell r="A517">
            <v>516</v>
          </cell>
          <cell r="B517" t="str">
            <v>Vitesse de dosage :</v>
          </cell>
          <cell r="C517" t="str">
            <v>Dosage speed :</v>
          </cell>
          <cell r="D517" t="str">
            <v>Prędkość dozowania :</v>
          </cell>
          <cell r="E517" t="str">
            <v>Viteza de dozare :</v>
          </cell>
          <cell r="F517" t="str">
            <v>Velocidad de dosificación:</v>
          </cell>
          <cell r="G517" t="str">
            <v>Velocidade de dosagem</v>
          </cell>
          <cell r="H517" t="str">
            <v>Adag sebesség C1 :</v>
          </cell>
          <cell r="I517" t="str">
            <v>Rýchlosť dávkovania</v>
          </cell>
          <cell r="J517" t="str">
            <v xml:space="preserve"> </v>
          </cell>
        </row>
        <row r="518">
          <cell r="A518">
            <v>517</v>
          </cell>
          <cell r="B518" t="str">
            <v>Contre pression :</v>
          </cell>
          <cell r="C518" t="str">
            <v>Back-up pressure :</v>
          </cell>
          <cell r="D518" t="str">
            <v>Back- up ciśnienia</v>
          </cell>
          <cell r="E518" t="str">
            <v>Contra presiune:</v>
          </cell>
          <cell r="F518" t="str">
            <v>Contra presión:</v>
          </cell>
          <cell r="G518" t="str">
            <v xml:space="preserve">Contrapressão </v>
          </cell>
          <cell r="H518" t="str">
            <v>Back-up nyomás :</v>
          </cell>
          <cell r="I518" t="str">
            <v>Protitlak :</v>
          </cell>
          <cell r="J518" t="str">
            <v xml:space="preserve"> </v>
          </cell>
        </row>
        <row r="519">
          <cell r="A519">
            <v>518</v>
          </cell>
          <cell r="B519" t="str">
            <v>Décompression avant dosage : C4 :</v>
          </cell>
          <cell r="C519" t="str">
            <v>Decompression before dosage : C4 :</v>
          </cell>
          <cell r="D519" t="str">
            <v>Dekompresja przed dozowaniem: C4</v>
          </cell>
          <cell r="E519" t="str">
            <v>Decompresie inainte de dozare : C4 :</v>
          </cell>
          <cell r="F519" t="str">
            <v>Descompresión antes de dosificación : C4:</v>
          </cell>
          <cell r="G519" t="str">
            <v>Descompressão antes da dosagem C4</v>
          </cell>
          <cell r="H519" t="str">
            <v xml:space="preserve"> --&gt; hungarian ?</v>
          </cell>
          <cell r="I519" t="str">
            <v>Dekompresia pred dávkovaním : C4 :</v>
          </cell>
          <cell r="J519" t="str">
            <v xml:space="preserve"> </v>
          </cell>
        </row>
        <row r="520">
          <cell r="A520">
            <v>519</v>
          </cell>
          <cell r="B520" t="str">
            <v>Vitesse de décompression :  V24 :</v>
          </cell>
          <cell r="C520" t="str">
            <v>Decompression speed :  V24 :</v>
          </cell>
          <cell r="D520" t="str">
            <v>Szybkość dekompresji : V24</v>
          </cell>
          <cell r="E520" t="str">
            <v>Viteza de decompresie :  V24 :</v>
          </cell>
          <cell r="F520" t="str">
            <v>Velocidad de descompresión: V24:</v>
          </cell>
          <cell r="G520" t="str">
            <v>Velocidade de descompressão: V24</v>
          </cell>
          <cell r="H520" t="str">
            <v>Dekompresszió sebesség : V4 :</v>
          </cell>
          <cell r="I520" t="str">
            <v>Rýchlosť dekompresie : V24 :</v>
          </cell>
          <cell r="J520" t="str">
            <v xml:space="preserve"> </v>
          </cell>
        </row>
        <row r="521">
          <cell r="A521">
            <v>520</v>
          </cell>
          <cell r="B521" t="str">
            <v>Course recul de la buse K :</v>
          </cell>
          <cell r="C521" t="str">
            <v>Nozzle back stroke K :</v>
          </cell>
          <cell r="D521" t="str">
            <v>Droga odrzutu dyszy K :</v>
          </cell>
          <cell r="E521" t="str">
            <v>Cursa recul a duzei K :</v>
          </cell>
          <cell r="F521" t="str">
            <v>carrera retroceso boquilla K :</v>
          </cell>
          <cell r="G521" t="str">
            <v>Curso de recuo do carro K</v>
          </cell>
          <cell r="H521" t="str">
            <v xml:space="preserve"> --&gt; hungarian ?</v>
          </cell>
          <cell r="I521" t="str">
            <v>tryska spätný pokyb K</v>
          </cell>
          <cell r="J521" t="str">
            <v xml:space="preserve"> </v>
          </cell>
        </row>
        <row r="522">
          <cell r="A522">
            <v>521</v>
          </cell>
          <cell r="B522" t="str">
            <v>Vitesse avance buse : V9 :</v>
          </cell>
          <cell r="C522" t="str">
            <v>Forward nozzle speed : V9 :</v>
          </cell>
          <cell r="D522" t="str">
            <v>Prędkość dojazdu dyszy</v>
          </cell>
          <cell r="E522" t="str">
            <v>Viteza de avans a duzei : V9 :</v>
          </cell>
          <cell r="F522" t="str">
            <v xml:space="preserve">Velocidad </v>
          </cell>
          <cell r="G522" t="str">
            <v>Velocidade de avanço do carro :V9</v>
          </cell>
          <cell r="H522" t="str">
            <v xml:space="preserve"> --&gt; hungarian ?</v>
          </cell>
          <cell r="I522" t="str">
            <v>Rýchlosť hubice vpred V9 :</v>
          </cell>
          <cell r="J522" t="str">
            <v xml:space="preserve"> </v>
          </cell>
        </row>
        <row r="523">
          <cell r="A523">
            <v>522</v>
          </cell>
          <cell r="B523" t="str">
            <v xml:space="preserve">Diamètre trou de buse : </v>
          </cell>
          <cell r="C523" t="str">
            <v xml:space="preserve">Nozzle diameter : </v>
          </cell>
          <cell r="D523" t="str">
            <v>Średnica otworu dyszy</v>
          </cell>
          <cell r="E523" t="str">
            <v>Diametru duza :</v>
          </cell>
          <cell r="F523" t="str">
            <v>Diámetro agujero boquilla :</v>
          </cell>
          <cell r="G523" t="str">
            <v>Diametro do bico da maquina</v>
          </cell>
          <cell r="H523" t="str">
            <v>Fúvóka átméró</v>
          </cell>
          <cell r="I523" t="str">
            <v>priemer diery pre dýzu :</v>
          </cell>
          <cell r="J523" t="str">
            <v xml:space="preserve"> </v>
          </cell>
        </row>
        <row r="524">
          <cell r="A524">
            <v>523</v>
          </cell>
          <cell r="B524" t="str">
            <v>Diam Vis :</v>
          </cell>
          <cell r="C524" t="str">
            <v>Screw diameter :</v>
          </cell>
          <cell r="D524" t="str">
            <v>Diam. Srub :</v>
          </cell>
          <cell r="E524" t="str">
            <v>Diametru surub :</v>
          </cell>
          <cell r="F524" t="str">
            <v xml:space="preserve">Diámetro husillo : </v>
          </cell>
          <cell r="G524" t="str">
            <v>Diametro do fuso</v>
          </cell>
          <cell r="H524" t="str">
            <v>Hengerátméró</v>
          </cell>
          <cell r="I524" t="str">
            <v>priemer šesku</v>
          </cell>
          <cell r="J524" t="str">
            <v xml:space="preserve"> </v>
          </cell>
        </row>
        <row r="525">
          <cell r="A525">
            <v>524</v>
          </cell>
          <cell r="B525" t="str">
            <v>Matelas (CPX) :</v>
          </cell>
          <cell r="C525" t="str">
            <v>Cushion (CPX) :</v>
          </cell>
          <cell r="D525" t="str">
            <v>Poduszka ( CPX )</v>
          </cell>
          <cell r="E525" t="str">
            <v>Perna de material</v>
          </cell>
          <cell r="F525" t="str">
            <v>Cojín (CPX) :</v>
          </cell>
          <cell r="G525" t="str">
            <v>Almofada</v>
          </cell>
          <cell r="H525" t="str">
            <v>Anyagpárna (CPX) :</v>
          </cell>
          <cell r="I525" t="str">
            <v>vankúš (CPX)</v>
          </cell>
          <cell r="J525" t="str">
            <v xml:space="preserve"> </v>
          </cell>
        </row>
        <row r="526">
          <cell r="A526">
            <v>525</v>
          </cell>
          <cell r="B526" t="str">
            <v>Après  : C2  :</v>
          </cell>
          <cell r="C526" t="str">
            <v>After  : C2  :</v>
          </cell>
          <cell r="D526" t="str">
            <v>Po : C2 :</v>
          </cell>
          <cell r="E526" t="str">
            <v>Dupa:C2:</v>
          </cell>
          <cell r="F526" t="str">
            <v>Después: C2:</v>
          </cell>
          <cell r="G526" t="str">
            <v>Após : C2</v>
          </cell>
          <cell r="H526" t="str">
            <v>Tán : C2 :</v>
          </cell>
          <cell r="I526" t="str">
            <v>po : C2 :</v>
          </cell>
          <cell r="J526" t="str">
            <v xml:space="preserve"> </v>
          </cell>
        </row>
        <row r="527">
          <cell r="A527">
            <v>526</v>
          </cell>
          <cell r="B527" t="str">
            <v>Vitesse recul : V11 :</v>
          </cell>
          <cell r="C527" t="str">
            <v>Backward speed : V11 :</v>
          </cell>
          <cell r="D527" t="str">
            <v>Prędkość spływu: V11:</v>
          </cell>
          <cell r="E527" t="str">
            <v>Viteza de recul: V11</v>
          </cell>
          <cell r="F527" t="str">
            <v>Velocidad retroceso : V11:</v>
          </cell>
          <cell r="G527" t="str">
            <v>Velocidade de recuo : V11</v>
          </cell>
          <cell r="H527" t="str">
            <v xml:space="preserve"> --&gt; hungarian ?</v>
          </cell>
          <cell r="I527" t="str">
            <v>Rýchlosť trysky zpet : V11 :</v>
          </cell>
          <cell r="J527" t="str">
            <v xml:space="preserve"> </v>
          </cell>
        </row>
        <row r="528">
          <cell r="A528">
            <v>527</v>
          </cell>
          <cell r="J528" t="str">
            <v xml:space="preserve"> </v>
          </cell>
        </row>
        <row r="529">
          <cell r="A529">
            <v>528</v>
          </cell>
          <cell r="B529" t="str">
            <v>TEMPERATURE MOULE</v>
          </cell>
          <cell r="C529" t="str">
            <v>Mould TEMPERATURE</v>
          </cell>
          <cell r="D529" t="str">
            <v>TEMPERATURA FORMY</v>
          </cell>
          <cell r="E529" t="str">
            <v>TEMPERATURA MATRITEI</v>
          </cell>
          <cell r="F529" t="str">
            <v>TEMPERATURA MOLDE</v>
          </cell>
          <cell r="G529" t="str">
            <v>TEMPERATURA DO MOLDE</v>
          </cell>
          <cell r="H529" t="str">
            <v>SZERSZÁM TEMPERÁLÁS</v>
          </cell>
          <cell r="I529" t="str">
            <v>TEPLOTY FORMY</v>
          </cell>
          <cell r="J529" t="str">
            <v xml:space="preserve"> </v>
          </cell>
        </row>
        <row r="530">
          <cell r="A530">
            <v>529</v>
          </cell>
          <cell r="B530" t="str">
            <v>Séquentiel</v>
          </cell>
          <cell r="C530" t="str">
            <v>Sequential</v>
          </cell>
          <cell r="D530" t="str">
            <v>Sekwencja</v>
          </cell>
          <cell r="E530" t="str">
            <v>Secvential</v>
          </cell>
          <cell r="F530" t="str">
            <v>Secuencial</v>
          </cell>
          <cell r="G530" t="str">
            <v>Sequencial</v>
          </cell>
          <cell r="H530" t="str">
            <v xml:space="preserve"> --&gt; hungarian ?</v>
          </cell>
          <cell r="I530" t="str">
            <v>sekvenčný</v>
          </cell>
          <cell r="J530" t="str">
            <v xml:space="preserve"> </v>
          </cell>
        </row>
        <row r="531">
          <cell r="A531">
            <v>530</v>
          </cell>
          <cell r="J531" t="str">
            <v xml:space="preserve"> </v>
          </cell>
        </row>
        <row r="532">
          <cell r="A532">
            <v>531</v>
          </cell>
          <cell r="B532" t="str">
            <v>TEMPERATURE CYLINDRE</v>
          </cell>
          <cell r="C532" t="str">
            <v>CYLINDER TEMPERATURE</v>
          </cell>
          <cell r="D532" t="str">
            <v>Temperatura cylindra</v>
          </cell>
          <cell r="E532" t="str">
            <v>TEMPERATURA CILINDRULUI</v>
          </cell>
          <cell r="F532" t="str">
            <v>TEMPERATURA CILINDRO</v>
          </cell>
          <cell r="G532" t="str">
            <v>TEMPERATURA DO CILINDRO</v>
          </cell>
          <cell r="H532" t="str">
            <v>HÕMERSÉKLET HENGER</v>
          </cell>
          <cell r="I532" t="str">
            <v>TEPLOTY VALEC</v>
          </cell>
          <cell r="J532" t="str">
            <v xml:space="preserve"> </v>
          </cell>
        </row>
        <row r="533">
          <cell r="A533">
            <v>532</v>
          </cell>
          <cell r="B533" t="str">
            <v>Buse</v>
          </cell>
          <cell r="C533" t="str">
            <v>Nozzle</v>
          </cell>
          <cell r="D533" t="str">
            <v>Dyszy</v>
          </cell>
          <cell r="E533" t="str">
            <v>Duze</v>
          </cell>
          <cell r="F533" t="str">
            <v>Noyos</v>
          </cell>
          <cell r="G533" t="str">
            <v>Bico</v>
          </cell>
          <cell r="H533" t="str">
            <v>Fúvóka</v>
          </cell>
          <cell r="I533" t="str">
            <v>Tryska</v>
          </cell>
          <cell r="J533" t="str">
            <v xml:space="preserve"> </v>
          </cell>
        </row>
        <row r="534">
          <cell r="A534">
            <v>533</v>
          </cell>
          <cell r="B534" t="str">
            <v>CANAL CHAUD</v>
          </cell>
          <cell r="C534" t="str">
            <v>HOT RUNNER</v>
          </cell>
          <cell r="D534" t="str">
            <v>GORĄCYCH KANAŁÓW</v>
          </cell>
          <cell r="E534" t="str">
            <v>BLOC CALD</v>
          </cell>
          <cell r="F534" t="str">
            <v>Cámara caliente</v>
          </cell>
          <cell r="G534" t="str">
            <v>CANAL QUENTE</v>
          </cell>
          <cell r="H534" t="str">
            <v>CSATORNA</v>
          </cell>
          <cell r="I534" t="str">
            <v>HORÚCI VTOK</v>
          </cell>
          <cell r="J534" t="str">
            <v xml:space="preserve"> </v>
          </cell>
        </row>
        <row r="535">
          <cell r="A535">
            <v>534</v>
          </cell>
          <cell r="B535" t="str">
            <v>TEMPORISATION</v>
          </cell>
          <cell r="C535" t="str">
            <v>SPECIFIED TIME OUT</v>
          </cell>
          <cell r="D535" t="str">
            <v>Czas</v>
          </cell>
          <cell r="E535" t="str">
            <v>TIMP DE IESIRE SPECIFICAT</v>
          </cell>
          <cell r="F535" t="str">
            <v>Temporización</v>
          </cell>
          <cell r="G535" t="str">
            <v xml:space="preserve">TEMPORIZAÇÃO </v>
          </cell>
          <cell r="H535" t="str">
            <v xml:space="preserve"> --&gt; hungarian ?</v>
          </cell>
          <cell r="I535" t="str">
            <v>ČAS</v>
          </cell>
          <cell r="J535" t="str">
            <v xml:space="preserve"> </v>
          </cell>
        </row>
        <row r="536">
          <cell r="A536">
            <v>535</v>
          </cell>
          <cell r="B536" t="str">
            <v xml:space="preserve"> Injection (ZSX)</v>
          </cell>
          <cell r="C536" t="str">
            <v>Injection (ZSX)</v>
          </cell>
          <cell r="D536" t="str">
            <v>Wtrysk (ZSX)</v>
          </cell>
          <cell r="E536" t="str">
            <v>Timp de injectie  real (ZSX)</v>
          </cell>
          <cell r="F536" t="str">
            <v>Inyección (ZSX)</v>
          </cell>
          <cell r="G536" t="str">
            <v>Injecção ( ZSX)</v>
          </cell>
          <cell r="H536" t="str">
            <v>Fröccsöntõ (ZSX)</v>
          </cell>
          <cell r="I536" t="str">
            <v>vstrekovanie ( ZSX )</v>
          </cell>
          <cell r="J536" t="str">
            <v xml:space="preserve"> </v>
          </cell>
        </row>
        <row r="537">
          <cell r="A537">
            <v>536</v>
          </cell>
          <cell r="B537" t="str">
            <v>Postpression(Z2)</v>
          </cell>
          <cell r="C537" t="str">
            <v>Holding pressure (Z2)</v>
          </cell>
          <cell r="D537" t="str">
            <v>Ciśnienie docisku ( Z2 )</v>
          </cell>
          <cell r="E537" t="str">
            <v>Timp de mintinere in postpresiune (Z2)</v>
          </cell>
          <cell r="F537" t="str">
            <v>Pospresión (Z2)</v>
          </cell>
          <cell r="G537" t="str">
            <v>2ª pressão (Z2)</v>
          </cell>
          <cell r="H537" t="str">
            <v>Holding nyomás (Z2) :</v>
          </cell>
          <cell r="I537" t="str">
            <v>dotlak</v>
          </cell>
          <cell r="J537" t="str">
            <v xml:space="preserve"> </v>
          </cell>
        </row>
        <row r="538">
          <cell r="A538">
            <v>537</v>
          </cell>
          <cell r="B538" t="str">
            <v>Refroidissement(Z4)</v>
          </cell>
          <cell r="C538" t="str">
            <v>Cooling (Z4)</v>
          </cell>
          <cell r="D538" t="str">
            <v>Chłodzenie (Z4)</v>
          </cell>
          <cell r="E538" t="str">
            <v>Racire (Z4)</v>
          </cell>
          <cell r="F538" t="str">
            <v>Enfriamiento (Z4)</v>
          </cell>
          <cell r="G538" t="str">
            <v>Arrefecimento ( Z4)</v>
          </cell>
          <cell r="H538" t="str">
            <v xml:space="preserve"> --&gt; hungarian ?</v>
          </cell>
          <cell r="I538" t="str">
            <v>Chladnutia (Z4)</v>
          </cell>
          <cell r="J538" t="str">
            <v xml:space="preserve"> </v>
          </cell>
        </row>
        <row r="539">
          <cell r="A539">
            <v>538</v>
          </cell>
          <cell r="B539" t="str">
            <v>Recul ponton(Z6)</v>
          </cell>
          <cell r="C539" t="str">
            <v>Inj. unit movement (Z6)</v>
          </cell>
          <cell r="D539" t="str">
            <v>Ruch jednostki wtryskowej (Z6)</v>
          </cell>
          <cell r="E539" t="str">
            <v>Viteza de unitate de injectie (Z6)</v>
          </cell>
          <cell r="F539" t="str">
            <v>Retroceso carro (Z6) :</v>
          </cell>
          <cell r="G539" t="str">
            <v>Recuo da unidade de injecção (Z6)</v>
          </cell>
          <cell r="H539" t="str">
            <v>Fröccsöntõ unit backward (Z6)</v>
          </cell>
          <cell r="I539" t="str">
            <v>pohyb vstrekovacej jednotky (Z6)</v>
          </cell>
          <cell r="J539" t="str">
            <v xml:space="preserve"> </v>
          </cell>
        </row>
        <row r="540">
          <cell r="A540">
            <v>539</v>
          </cell>
          <cell r="B540" t="str">
            <v xml:space="preserve"> *** Tolerances temps d'injection :</v>
          </cell>
          <cell r="C540" t="str">
            <v xml:space="preserve"> *** Injection times Tolerances :</v>
          </cell>
          <cell r="D540" t="str">
            <v>Tolerancje czasu wtrysku</v>
          </cell>
          <cell r="E540" t="str">
            <v xml:space="preserve"> ***Tolerantele timpilor de injectie</v>
          </cell>
          <cell r="F540" t="str">
            <v>*** Tolerancia tiempo de inyección :</v>
          </cell>
          <cell r="G540" t="str">
            <v>Tolerâncias  - Tempo de Injecção</v>
          </cell>
          <cell r="H540" t="str">
            <v>*** Fröccsöntõ Idó türs :</v>
          </cell>
          <cell r="I540" t="str">
            <v>*** Tolerancia Doby vstrekovania :</v>
          </cell>
          <cell r="J540" t="str">
            <v xml:space="preserve"> </v>
          </cell>
        </row>
        <row r="541">
          <cell r="A541">
            <v>540</v>
          </cell>
          <cell r="B541" t="str">
            <v>TEMPS CYCLE :</v>
          </cell>
          <cell r="C541" t="str">
            <v>CYCLE TIME :</v>
          </cell>
          <cell r="D541" t="str">
            <v>CZAS CYCLU :</v>
          </cell>
          <cell r="E541" t="str">
            <v>TIMP CICLU :</v>
          </cell>
          <cell r="F541" t="str">
            <v>TIEMPO DE CICLO</v>
          </cell>
          <cell r="G541" t="str">
            <v>TEMPO DE CICLO</v>
          </cell>
          <cell r="H541" t="str">
            <v>CIKLUSIDÕK :</v>
          </cell>
          <cell r="I541" t="str">
            <v>ČAS CYKLU :</v>
          </cell>
          <cell r="J541" t="str">
            <v xml:space="preserve"> </v>
          </cell>
        </row>
        <row r="542">
          <cell r="A542">
            <v>541</v>
          </cell>
          <cell r="B542" t="str">
            <v>Poids de la moulée avec carotte :</v>
          </cell>
          <cell r="C542" t="str">
            <v>Weight for a shot with sprue :</v>
          </cell>
          <cell r="D542" t="str">
            <v>Ciężar formy z wlewkiem</v>
          </cell>
          <cell r="E542" t="str">
            <v>Greutatea cu culee la o injectie :</v>
          </cell>
          <cell r="F542" t="str">
            <v>Peso de la inyectada con colada</v>
          </cell>
          <cell r="G542" t="str">
            <v>Peso da moldação com o gito</v>
          </cell>
          <cell r="H542" t="str">
            <v>Tömeg for a shot with engusz :</v>
          </cell>
          <cell r="I542" t="str">
            <v>Hmotnosť Výlisku (s vtokom)</v>
          </cell>
          <cell r="J542" t="str">
            <v xml:space="preserve"> </v>
          </cell>
        </row>
        <row r="543">
          <cell r="A543">
            <v>542</v>
          </cell>
          <cell r="B543" t="str">
            <v>Nombre d'empreintes :</v>
          </cell>
          <cell r="C543" t="str">
            <v>Cavities quantity :</v>
          </cell>
          <cell r="D543" t="str">
            <v xml:space="preserve">Liczba gniazd </v>
          </cell>
          <cell r="E543" t="str">
            <v>Numar de cavitati</v>
          </cell>
          <cell r="F543" t="str">
            <v>Número de cavidades</v>
          </cell>
          <cell r="G543" t="str">
            <v>numero de cavidades:</v>
          </cell>
          <cell r="H543" t="str">
            <v>Fészelszam :</v>
          </cell>
          <cell r="I543" t="str">
            <v>Počet</v>
          </cell>
          <cell r="J543" t="str">
            <v xml:space="preserve"> </v>
          </cell>
        </row>
        <row r="544">
          <cell r="A544">
            <v>543</v>
          </cell>
          <cell r="J544" t="str">
            <v xml:space="preserve"> </v>
          </cell>
        </row>
        <row r="545">
          <cell r="A545">
            <v>544</v>
          </cell>
          <cell r="B545" t="str">
            <v>PRODUCTION :</v>
          </cell>
          <cell r="C545" t="str">
            <v>PRODUCTION :</v>
          </cell>
          <cell r="D545" t="str">
            <v>PRODUKCJA:</v>
          </cell>
          <cell r="E545" t="str">
            <v>PRODUCTIE :</v>
          </cell>
          <cell r="F545" t="str">
            <v>PRODUCCIÓN</v>
          </cell>
          <cell r="G545" t="str">
            <v>PRODUÇÃO</v>
          </cell>
          <cell r="H545" t="str">
            <v>TERMELÉS :</v>
          </cell>
          <cell r="I545" t="str">
            <v>VÝROBA :</v>
          </cell>
          <cell r="J545" t="str">
            <v xml:space="preserve"> </v>
          </cell>
        </row>
        <row r="546">
          <cell r="A546">
            <v>545</v>
          </cell>
          <cell r="G546" t="str">
            <v/>
          </cell>
          <cell r="J546" t="str">
            <v xml:space="preserve"> </v>
          </cell>
        </row>
        <row r="547">
          <cell r="A547">
            <v>546</v>
          </cell>
          <cell r="B547" t="str">
            <v>OPERATEUR :</v>
          </cell>
          <cell r="C547" t="str">
            <v>OPERATOR  :</v>
          </cell>
          <cell r="D547" t="str">
            <v>OPERATOR  :</v>
          </cell>
          <cell r="E547" t="str">
            <v>OPERATOR  :</v>
          </cell>
          <cell r="F547" t="str">
            <v>OPERADOR</v>
          </cell>
          <cell r="G547" t="str">
            <v>OPERADOR</v>
          </cell>
          <cell r="H547" t="str">
            <v>OPERATOR  :</v>
          </cell>
          <cell r="I547" t="str">
            <v>OPERÁTOR :</v>
          </cell>
          <cell r="J547" t="str">
            <v xml:space="preserve"> </v>
          </cell>
        </row>
        <row r="548">
          <cell r="A548">
            <v>547</v>
          </cell>
          <cell r="J548" t="str">
            <v xml:space="preserve"> </v>
          </cell>
        </row>
        <row r="549">
          <cell r="A549">
            <v>548</v>
          </cell>
          <cell r="B549" t="str">
            <v>N° programme robot :</v>
          </cell>
          <cell r="C549" t="str">
            <v>Robot program nber :</v>
          </cell>
          <cell r="D549" t="str">
            <v>Nr programu robota :</v>
          </cell>
          <cell r="E549" t="str">
            <v>Nr. program robot</v>
          </cell>
          <cell r="F549" t="str">
            <v>Nº programa robot</v>
          </cell>
          <cell r="G549" t="str">
            <v>Nº. do programa do Robot</v>
          </cell>
          <cell r="H549" t="str">
            <v>Robot program szám :</v>
          </cell>
          <cell r="I549" t="str">
            <v>Č. Program robot :</v>
          </cell>
          <cell r="J549" t="str">
            <v xml:space="preserve"> </v>
          </cell>
        </row>
        <row r="550">
          <cell r="A550">
            <v>549</v>
          </cell>
          <cell r="B550" t="str">
            <v>INJECTION GAZ</v>
          </cell>
          <cell r="C550" t="str">
            <v>GAS-ASSIST INJECTION</v>
          </cell>
          <cell r="D550" t="str">
            <v>WTRYSK GAZU</v>
          </cell>
          <cell r="E550" t="str">
            <v>INJECTIE GAZE</v>
          </cell>
          <cell r="F550" t="str">
            <v>INYECCIÓN DE GAS</v>
          </cell>
          <cell r="G550" t="str">
            <v>INJECÇÃO COM GAZ</v>
          </cell>
          <cell r="H550" t="str">
            <v>GÁZFÚVÁS</v>
          </cell>
          <cell r="J550" t="str">
            <v xml:space="preserve"> </v>
          </cell>
        </row>
        <row r="551">
          <cell r="A551">
            <v>550</v>
          </cell>
          <cell r="B551" t="str">
            <v>Durées</v>
          </cell>
          <cell r="C551" t="str">
            <v>Times</v>
          </cell>
          <cell r="D551" t="str">
            <v>Czasy trwania</v>
          </cell>
          <cell r="E551" t="str">
            <v>Durate:</v>
          </cell>
          <cell r="F551" t="str">
            <v>Duración</v>
          </cell>
          <cell r="G551" t="str">
            <v>Tempos</v>
          </cell>
          <cell r="H551" t="str">
            <v>Idó</v>
          </cell>
          <cell r="I551" t="str">
            <v>Termín</v>
          </cell>
          <cell r="J551" t="str">
            <v xml:space="preserve"> </v>
          </cell>
        </row>
        <row r="552">
          <cell r="A552">
            <v>551</v>
          </cell>
          <cell r="J552" t="str">
            <v xml:space="preserve"> </v>
          </cell>
        </row>
        <row r="553">
          <cell r="A553">
            <v>552</v>
          </cell>
          <cell r="B553" t="str">
            <v>Type Injection :</v>
          </cell>
          <cell r="C553" t="str">
            <v>Injection type :</v>
          </cell>
          <cell r="D553" t="str">
            <v>Typ wtrysk</v>
          </cell>
          <cell r="E553" t="str">
            <v>Tip injectie :</v>
          </cell>
          <cell r="F553" t="str">
            <v>Tipo de inyección</v>
          </cell>
          <cell r="G553" t="str">
            <v>Tipo de Injecção:</v>
          </cell>
          <cell r="H553" t="str">
            <v>Típusa frõccsöntõ</v>
          </cell>
          <cell r="I553" t="str">
            <v>Typ vstrekovania</v>
          </cell>
          <cell r="J553" t="str">
            <v xml:space="preserve"> </v>
          </cell>
        </row>
        <row r="554">
          <cell r="A554">
            <v>553</v>
          </cell>
          <cell r="B554" t="str">
            <v>Temps de Retard  :</v>
          </cell>
          <cell r="C554" t="str">
            <v>Delay time  :</v>
          </cell>
          <cell r="D554" t="str">
            <v xml:space="preserve">Czas opóźnienia  </v>
          </cell>
          <cell r="E554" t="str">
            <v>Timpi de Intarziere:</v>
          </cell>
          <cell r="F554" t="str">
            <v>Tiempo de retraso:</v>
          </cell>
          <cell r="G554" t="str">
            <v>Tempo de atraso</v>
          </cell>
          <cell r="H554" t="str">
            <v xml:space="preserve"> --&gt; hungarian ?</v>
          </cell>
          <cell r="I554" t="str">
            <v>čas oneskorenia :</v>
          </cell>
          <cell r="J554" t="str">
            <v xml:space="preserve"> </v>
          </cell>
        </row>
        <row r="555">
          <cell r="A555">
            <v>554</v>
          </cell>
          <cell r="B555" t="str">
            <v>Top injection</v>
          </cell>
          <cell r="C555" t="str">
            <v>TOP Injection</v>
          </cell>
          <cell r="D555" t="str">
            <v>TOP wtrysku</v>
          </cell>
          <cell r="E555" t="str">
            <v>Top injectie</v>
          </cell>
          <cell r="F555" t="str">
            <v>Señal inyección :</v>
          </cell>
          <cell r="G555" t="str">
            <v>Sinal injecção</v>
          </cell>
          <cell r="H555" t="str">
            <v>TOP Fröccsöntõ</v>
          </cell>
          <cell r="I555" t="str">
            <v>vrchol vstrekovania</v>
          </cell>
          <cell r="J555" t="str">
            <v xml:space="preserve"> </v>
          </cell>
        </row>
        <row r="556">
          <cell r="A556">
            <v>555</v>
          </cell>
          <cell r="B556" t="str">
            <v>EJECTION HYDRAULIQUE</v>
          </cell>
          <cell r="C556" t="str">
            <v>HYDRAULIC EJECTION</v>
          </cell>
          <cell r="D556" t="str">
            <v>WYRZUTNIK HYDRAULICZNY</v>
          </cell>
          <cell r="E556" t="str">
            <v>ARUNCARE HIDRAULICA</v>
          </cell>
          <cell r="F556" t="str">
            <v>EXPULSIÓN HIDRÁULICA</v>
          </cell>
          <cell r="G556" t="str">
            <v>EXTRACÇÃO HIDRAULICA</v>
          </cell>
          <cell r="H556" t="str">
            <v>HIDRAULIK KILÖKÕ</v>
          </cell>
          <cell r="I556" t="str">
            <v>HYDRAULICKÉ VYHADZOVANIE</v>
          </cell>
          <cell r="J556" t="str">
            <v xml:space="preserve"> </v>
          </cell>
        </row>
        <row r="557">
          <cell r="A557">
            <v>556</v>
          </cell>
          <cell r="B557" t="str">
            <v>Départ éjection hydraulique :</v>
          </cell>
          <cell r="C557" t="str">
            <v>Hydraulic ejection outset :</v>
          </cell>
          <cell r="D557" t="str">
            <v>Początek wyrzutnika hydraulicznego</v>
          </cell>
          <cell r="E557" t="str">
            <v>Inceputul aruncarii hidraulice</v>
          </cell>
          <cell r="F557" t="str">
            <v>Salida expulsión hidráulica</v>
          </cell>
          <cell r="G557" t="str">
            <v>Inicio extracção hidraulica</v>
          </cell>
          <cell r="H557" t="str">
            <v>Hidraulik kilökő outset :</v>
          </cell>
          <cell r="I557" t="str">
            <v>odchod hydraulického vyhadzovania</v>
          </cell>
          <cell r="J557" t="str">
            <v xml:space="preserve"> </v>
          </cell>
        </row>
        <row r="558">
          <cell r="A558">
            <v>557</v>
          </cell>
          <cell r="B558" t="str">
            <v>Vitesse éjection : sortie V30 :</v>
          </cell>
          <cell r="C558" t="str">
            <v>Ejection speed : way-out V30 :</v>
          </cell>
          <cell r="D558" t="str">
            <v>Prędkość wyrzutnika : wyjście V30 :</v>
          </cell>
          <cell r="E558" t="str">
            <v>Viteza de aruncare: iesirea V30:</v>
          </cell>
          <cell r="F558" t="str">
            <v>Velocidad de expulsión : salida V30:</v>
          </cell>
          <cell r="G558" t="str">
            <v>Velocidade de extracção: Saída V30:</v>
          </cell>
          <cell r="H558" t="str">
            <v>Kilökő sebesség : way-out P30 :</v>
          </cell>
          <cell r="I558" t="str">
            <v>rýchlosť vyhadzovania : výstup V30</v>
          </cell>
          <cell r="J558" t="str">
            <v xml:space="preserve"> </v>
          </cell>
        </row>
        <row r="559">
          <cell r="A559">
            <v>558</v>
          </cell>
          <cell r="B559" t="str">
            <v>Pression éjection : sortie P30 :</v>
          </cell>
          <cell r="C559" t="str">
            <v>Ejection pressure : way-out P30 :</v>
          </cell>
          <cell r="D559" t="str">
            <v>Ciśnienie Wyrzutnika : wyjście P30 :</v>
          </cell>
          <cell r="E559" t="str">
            <v>Presiunea de aruncare: iesire P30:</v>
          </cell>
          <cell r="F559" t="str">
            <v>Presión de expulsión : salida P30:</v>
          </cell>
          <cell r="G559" t="str">
            <v>Pressão extracção : saida P30</v>
          </cell>
          <cell r="H559" t="str">
            <v>Kilökő nyomás : way-out P30 :</v>
          </cell>
          <cell r="I559" t="str">
            <v>tlak vyhadzovania : výstup P30</v>
          </cell>
          <cell r="J559" t="str">
            <v xml:space="preserve"> </v>
          </cell>
        </row>
        <row r="560">
          <cell r="A560">
            <v>559</v>
          </cell>
          <cell r="B560" t="str">
            <v>entrée V31 :</v>
          </cell>
          <cell r="C560" t="str">
            <v>way-in V31 :</v>
          </cell>
          <cell r="D560" t="str">
            <v>Wejście V31:</v>
          </cell>
          <cell r="E560" t="str">
            <v>intrarea V31:</v>
          </cell>
          <cell r="F560" t="str">
            <v>entrada V31:</v>
          </cell>
          <cell r="G560" t="str">
            <v>Entrada V 31:</v>
          </cell>
          <cell r="H560" t="str">
            <v>Beviteli V31 :</v>
          </cell>
          <cell r="I560" t="str">
            <v>vchod V31 :</v>
          </cell>
          <cell r="J560" t="str">
            <v xml:space="preserve"> </v>
          </cell>
        </row>
        <row r="561">
          <cell r="A561">
            <v>560</v>
          </cell>
          <cell r="B561" t="str">
            <v>entrée P31 :</v>
          </cell>
          <cell r="C561" t="str">
            <v>way-in P31 :</v>
          </cell>
          <cell r="D561" t="str">
            <v>Wejście P31:</v>
          </cell>
          <cell r="E561" t="str">
            <v>intrarea P31:</v>
          </cell>
          <cell r="F561" t="str">
            <v>entrada P31:</v>
          </cell>
          <cell r="G561" t="str">
            <v>Entrada P 31:</v>
          </cell>
          <cell r="H561" t="str">
            <v>Beviteli P31 :</v>
          </cell>
          <cell r="I561" t="str">
            <v>vchod P31 :</v>
          </cell>
          <cell r="J561" t="str">
            <v xml:space="preserve"> </v>
          </cell>
        </row>
        <row r="562">
          <cell r="A562">
            <v>561</v>
          </cell>
          <cell r="B562" t="str">
            <v>*Tolerance matelas: voir instruction Gl 495-6</v>
          </cell>
          <cell r="C562" t="str">
            <v>*Cushion Tolerance : see instruction Gl 495-6</v>
          </cell>
          <cell r="D562" t="str">
            <v>Tolerancja poduszek : Instrukcja GI 495-6</v>
          </cell>
          <cell r="E562" t="str">
            <v>*Toleranta pernei de material: vezi instructiunea Gl 495-6</v>
          </cell>
          <cell r="F562" t="str">
            <v>Tolerancia cojín :  ver
instrucción GI 495-6</v>
          </cell>
          <cell r="G562" t="str">
            <v>* Tolerãncia da Almofada: ver Instrucção GI 495 -6</v>
          </cell>
          <cell r="H562" t="str">
            <v xml:space="preserve"> --&gt; hungarian ?</v>
          </cell>
          <cell r="J562" t="str">
            <v xml:space="preserve"> </v>
          </cell>
        </row>
        <row r="563">
          <cell r="A563">
            <v>562</v>
          </cell>
          <cell r="B563" t="str">
            <v>** Temps de dosage maxi:</v>
          </cell>
          <cell r="C563" t="str">
            <v>** Maxi dosage time :</v>
          </cell>
          <cell r="D563" t="str">
            <v>Maksymalny czas dozowania</v>
          </cell>
          <cell r="E563" t="str">
            <v>** Timpi de dozare maximi:</v>
          </cell>
          <cell r="F563" t="str">
            <v>** Tiempo de dosificación max:</v>
          </cell>
          <cell r="G563" t="str">
            <v>**Tempo de dosagem Máximo:</v>
          </cell>
          <cell r="H563" t="str">
            <v>** Adag idó max :</v>
          </cell>
          <cell r="I563" t="str">
            <v>** Čas dávkovania maxi :</v>
          </cell>
          <cell r="J563" t="str">
            <v xml:space="preserve"> </v>
          </cell>
        </row>
        <row r="564">
          <cell r="A564">
            <v>563</v>
          </cell>
          <cell r="B564" t="str">
            <v>ZDX max = temps de refroidissement moins 0,1 seconde</v>
          </cell>
          <cell r="C564" t="str">
            <v>ZDX max = Cooling time  minus 0,1 seconde</v>
          </cell>
          <cell r="D564" t="str">
            <v>ZDI max = czas chłodzenia mniej niż 0,1 sek.</v>
          </cell>
          <cell r="E564" t="str">
            <v>ZDX max = timpi de racire minus 0,1 secunda</v>
          </cell>
          <cell r="F564" t="str">
            <v>ZDX max: tiempo de enfriamiento menos 0,1 segundo</v>
          </cell>
          <cell r="G564" t="str">
            <v>ZDX max.= tempo de arrefécimento menos 0,1 segundo.</v>
          </cell>
          <cell r="H564" t="str">
            <v>Sorry, Hungarian translation is under construction</v>
          </cell>
          <cell r="I564" t="str">
            <v>ZDX max = Čas chladnutia menej 0.1 sekunda</v>
          </cell>
          <cell r="J564" t="str">
            <v xml:space="preserve"> </v>
          </cell>
        </row>
        <row r="565">
          <cell r="A565">
            <v>564</v>
          </cell>
          <cell r="B565" t="str">
            <v>*** Tolérance temps d'injection:  ± 10 % du temps d'injection</v>
          </cell>
          <cell r="C565" t="str">
            <v>*** Injection time Tolerance :  ± 10 % Injection time</v>
          </cell>
          <cell r="D565" t="str">
            <v>*** Tolerancja czasu wtrysku :  ± 10% czasu wtrysku</v>
          </cell>
          <cell r="E565" t="str">
            <v>*** Toleranta timpilor de injectie:  ± 10 % din timpii de injectie</v>
          </cell>
          <cell r="F565" t="str">
            <v>*** Tolerancia tiempo de inyección : ± 10 % de tiempo de inyección</v>
          </cell>
          <cell r="G565" t="str">
            <v>*** Tolerãncia do Tempo de Injecção: +/- 10% Tempo de injecção</v>
          </cell>
          <cell r="H565" t="str">
            <v>Sorry, Hungarian translation is under construction</v>
          </cell>
          <cell r="I565" t="str">
            <v>*** Tolerancia Doby vstrekovania : ± 10% doby vstrekovania</v>
          </cell>
          <cell r="J565" t="str">
            <v xml:space="preserve"> </v>
          </cell>
        </row>
        <row r="566">
          <cell r="A566">
            <v>565</v>
          </cell>
          <cell r="B566" t="str">
            <v>OBSERVATIONS</v>
          </cell>
          <cell r="C566" t="str">
            <v>REMARKS</v>
          </cell>
          <cell r="D566" t="str">
            <v>Uwagi</v>
          </cell>
          <cell r="E566" t="str">
            <v>REMARCI</v>
          </cell>
          <cell r="F566" t="str">
            <v>OBSERVACIONES</v>
          </cell>
          <cell r="G566" t="str">
            <v>OBSERVAÇÕES:</v>
          </cell>
          <cell r="H566" t="str">
            <v>Megjegyzések</v>
          </cell>
          <cell r="I566" t="str">
            <v>POZNÁMKY</v>
          </cell>
          <cell r="J566" t="str">
            <v xml:space="preserve"> </v>
          </cell>
        </row>
        <row r="567">
          <cell r="A567">
            <v>566</v>
          </cell>
          <cell r="B567" t="str">
            <v>Visa Technique Injection</v>
          </cell>
          <cell r="C567" t="str">
            <v>Visa moulding Technician</v>
          </cell>
          <cell r="D567" t="str">
            <v>Podpis Technologa Wtrysku</v>
          </cell>
          <cell r="E567" t="str">
            <v>Viza Tehnica de Injectie</v>
          </cell>
          <cell r="F567" t="str">
            <v>Visa técnico de inyección</v>
          </cell>
          <cell r="G567" t="str">
            <v>Assinatura Tecnico de Injecção</v>
          </cell>
          <cell r="H567" t="str">
            <v>FrocssTechnológiai aláírás</v>
          </cell>
          <cell r="I567" t="str">
            <v>podpis mechanika lisov</v>
          </cell>
          <cell r="J567" t="str">
            <v xml:space="preserve"> </v>
          </cell>
        </row>
        <row r="568">
          <cell r="A568">
            <v>567</v>
          </cell>
          <cell r="B568" t="str">
            <v>Semi-auto</v>
          </cell>
          <cell r="C568" t="str">
            <v>Semi-auto</v>
          </cell>
          <cell r="D568" t="str">
            <v>PÓŁAUTO</v>
          </cell>
          <cell r="E568" t="str">
            <v>semiauto</v>
          </cell>
          <cell r="F568" t="str">
            <v>Semi-auto</v>
          </cell>
          <cell r="G568" t="str">
            <v>Semi- aotumático</v>
          </cell>
          <cell r="H568" t="str">
            <v>Semi-auto</v>
          </cell>
          <cell r="I568" t="str">
            <v>Polo-auto</v>
          </cell>
          <cell r="J568" t="str">
            <v xml:space="preserve"> </v>
          </cell>
        </row>
        <row r="569">
          <cell r="A569">
            <v>568</v>
          </cell>
          <cell r="B569" t="str">
            <v>Auto</v>
          </cell>
          <cell r="C569" t="str">
            <v>Auto</v>
          </cell>
          <cell r="D569" t="str">
            <v>Auto</v>
          </cell>
          <cell r="E569" t="str">
            <v>Auto</v>
          </cell>
          <cell r="F569" t="str">
            <v>Auto</v>
          </cell>
          <cell r="G569" t="str">
            <v>Automático</v>
          </cell>
          <cell r="H569" t="str">
            <v>Auto</v>
          </cell>
          <cell r="I569" t="str">
            <v>Auto</v>
          </cell>
          <cell r="J569" t="str">
            <v xml:space="preserve"> </v>
          </cell>
        </row>
        <row r="570">
          <cell r="A570">
            <v>569</v>
          </cell>
          <cell r="B570" t="str">
            <v>Disquette</v>
          </cell>
          <cell r="C570" t="str">
            <v>Disk</v>
          </cell>
          <cell r="D570" t="str">
            <v>Dyskietka</v>
          </cell>
          <cell r="E570" t="str">
            <v>Disc</v>
          </cell>
          <cell r="F570" t="str">
            <v>Disquete</v>
          </cell>
          <cell r="G570" t="str">
            <v>Disquete</v>
          </cell>
          <cell r="H570" t="str">
            <v>Lemez</v>
          </cell>
          <cell r="I570" t="str">
            <v>Disketa</v>
          </cell>
          <cell r="J570" t="str">
            <v xml:space="preserve"> </v>
          </cell>
        </row>
        <row r="571">
          <cell r="A571">
            <v>570</v>
          </cell>
          <cell r="B571" t="str">
            <v>Démarrage</v>
          </cell>
          <cell r="C571" t="str">
            <v>Start up</v>
          </cell>
          <cell r="D571" t="str">
            <v>Uruchomienie</v>
          </cell>
          <cell r="E571" t="str">
            <v>Demarare</v>
          </cell>
          <cell r="F571" t="str">
            <v>Inicio</v>
          </cell>
          <cell r="G571" t="str">
            <v>Arranque</v>
          </cell>
          <cell r="H571" t="str">
            <v xml:space="preserve"> --&gt; hungarian ?</v>
          </cell>
          <cell r="I571" t="str">
            <v>spustenie</v>
          </cell>
          <cell r="J571" t="str">
            <v xml:space="preserve"> </v>
          </cell>
        </row>
        <row r="572">
          <cell r="A572">
            <v>571</v>
          </cell>
          <cell r="B572" t="str">
            <v>Démarrage production</v>
          </cell>
          <cell r="C572" t="str">
            <v>Production start up</v>
          </cell>
          <cell r="D572" t="str">
            <v>Uruchomienie Produkcji</v>
          </cell>
          <cell r="E572" t="str">
            <v>Demararea productiei</v>
          </cell>
          <cell r="F572" t="str">
            <v>Inicio producción</v>
          </cell>
          <cell r="G572" t="str">
            <v>Arranque de Produção</v>
          </cell>
          <cell r="H572" t="str">
            <v xml:space="preserve"> --&gt; hungarian ?</v>
          </cell>
          <cell r="I572" t="str">
            <v>spustenie výroby</v>
          </cell>
          <cell r="J572" t="str">
            <v xml:space="preserve"> </v>
          </cell>
        </row>
        <row r="573">
          <cell r="A573">
            <v>572</v>
          </cell>
          <cell r="B573" t="str">
            <v>FONCTIONS ET SECURITE</v>
          </cell>
          <cell r="C573" t="str">
            <v>Functions and security</v>
          </cell>
          <cell r="D573" t="str">
            <v>Funkcje i bezpieczeństwo</v>
          </cell>
          <cell r="E573" t="str">
            <v>FUNCTIONARE SI SECURITATE</v>
          </cell>
          <cell r="F573" t="str">
            <v>FUNCIONES Y SEGURIDAD</v>
          </cell>
          <cell r="G573" t="str">
            <v>FUNÇÕES E SEGURANÇA</v>
          </cell>
          <cell r="H573" t="str">
            <v xml:space="preserve"> --&gt; hungarian ?</v>
          </cell>
          <cell r="I573" t="str">
            <v>FUNKCIA A OCHRANA</v>
          </cell>
          <cell r="J573" t="str">
            <v xml:space="preserve"> </v>
          </cell>
        </row>
        <row r="574">
          <cell r="A574">
            <v>573</v>
          </cell>
          <cell r="B574" t="str">
            <v>Réglages temps et courses ouverture / fermeture</v>
          </cell>
          <cell r="C574" t="str">
            <v>Set-up times and courses opening / closing</v>
          </cell>
          <cell r="D574" t="str">
            <v>Ustawienia czasu i przebiegu otwarcia/ zamknięcia</v>
          </cell>
          <cell r="E574" t="str">
            <v>Reglare timp si cursa deschidere / inchidere</v>
          </cell>
          <cell r="F574" t="str">
            <v>Reglaje tiempo y carrera
abertura / cierre</v>
          </cell>
          <cell r="G574" t="str">
            <v>Tempos e cursos de abertura e Fecho</v>
          </cell>
          <cell r="H574" t="str">
            <v xml:space="preserve"> --&gt; hungarian ?</v>
          </cell>
          <cell r="I574" t="str">
            <v>nastavenie času a pohybu otvorenie / zatvorenie</v>
          </cell>
          <cell r="J574" t="str">
            <v xml:space="preserve"> </v>
          </cell>
        </row>
        <row r="575">
          <cell r="A575">
            <v>574</v>
          </cell>
          <cell r="B575" t="str">
            <v>Temps d'ouverture</v>
          </cell>
          <cell r="C575" t="str">
            <v>Opening time</v>
          </cell>
          <cell r="D575" t="str">
            <v>Czas otwarcia</v>
          </cell>
          <cell r="E575" t="str">
            <v>Timp de deschidere</v>
          </cell>
          <cell r="F575" t="str">
            <v>Tiempo de apertura</v>
          </cell>
          <cell r="G575" t="str">
            <v>Tempo de Abertura</v>
          </cell>
          <cell r="H575" t="str">
            <v>Nyitási idó</v>
          </cell>
          <cell r="I575" t="str">
            <v>Čas otváranie</v>
          </cell>
          <cell r="J575" t="str">
            <v xml:space="preserve"> </v>
          </cell>
        </row>
        <row r="576">
          <cell r="A576">
            <v>575</v>
          </cell>
          <cell r="B576" t="str">
            <v>Temps de fermeture</v>
          </cell>
          <cell r="C576" t="str">
            <v>Closing time</v>
          </cell>
          <cell r="D576" t="str">
            <v>Czas zamkniecia</v>
          </cell>
          <cell r="E576" t="str">
            <v>Timp de inchidere</v>
          </cell>
          <cell r="F576" t="str">
            <v>Tiempo de cierre</v>
          </cell>
          <cell r="G576" t="str">
            <v>Tempo de Fecho</v>
          </cell>
          <cell r="H576" t="str">
            <v>Zár idó</v>
          </cell>
          <cell r="I576" t="str">
            <v>čas zatvorenia</v>
          </cell>
          <cell r="J576" t="str">
            <v xml:space="preserve"> </v>
          </cell>
        </row>
        <row r="577">
          <cell r="A577">
            <v>576</v>
          </cell>
          <cell r="B577" t="str">
            <v>Temps de préhension robot</v>
          </cell>
          <cell r="C577" t="str">
            <v>Robot handling time</v>
          </cell>
          <cell r="D577" t="str">
            <v>Czas trzymania robota</v>
          </cell>
          <cell r="E577" t="str">
            <v>Timp de prindere (robot)</v>
          </cell>
          <cell r="F577" t="str">
            <v xml:space="preserve">Tiempo </v>
          </cell>
          <cell r="G577" t="str">
            <v>Tempo de preensão do robot</v>
          </cell>
          <cell r="H577" t="str">
            <v xml:space="preserve"> --&gt; hungarian ?</v>
          </cell>
          <cell r="I577" t="str">
            <v>čas manipulácie robotom</v>
          </cell>
          <cell r="J577" t="str">
            <v xml:space="preserve"> </v>
          </cell>
        </row>
        <row r="578">
          <cell r="A578">
            <v>577</v>
          </cell>
          <cell r="B578" t="str">
            <v>Temps d'éjection</v>
          </cell>
          <cell r="C578" t="str">
            <v>Ejection time</v>
          </cell>
          <cell r="D578" t="str">
            <v>Czas éjection</v>
          </cell>
          <cell r="E578" t="str">
            <v>Timp aruncare</v>
          </cell>
          <cell r="F578" t="str">
            <v>Tiempo de expulsión</v>
          </cell>
          <cell r="G578" t="str">
            <v>Tempo de extracção</v>
          </cell>
          <cell r="H578" t="str">
            <v>Kilökő idó :</v>
          </cell>
          <cell r="I578" t="str">
            <v>čas vyhadzovania</v>
          </cell>
          <cell r="J578" t="str">
            <v xml:space="preserve"> </v>
          </cell>
        </row>
        <row r="579">
          <cell r="A579">
            <v>578</v>
          </cell>
          <cell r="B579" t="str">
            <v>Vitesse d'éjection</v>
          </cell>
          <cell r="C579" t="str">
            <v>Ejection speed</v>
          </cell>
          <cell r="D579" t="str">
            <v xml:space="preserve">Prędkość wyrzutnika  </v>
          </cell>
          <cell r="E579" t="str">
            <v>Viteza de aruncare</v>
          </cell>
          <cell r="F579" t="str">
            <v>Velocidad de expulsión</v>
          </cell>
          <cell r="G579" t="str">
            <v>Velocidade de extracção</v>
          </cell>
          <cell r="H579" t="str">
            <v>Kilökő sebess￩g</v>
          </cell>
          <cell r="I579" t="str">
            <v>rýchlosť vyhadzovania</v>
          </cell>
          <cell r="J579" t="str">
            <v xml:space="preserve"> </v>
          </cell>
        </row>
        <row r="580">
          <cell r="A580">
            <v>579</v>
          </cell>
          <cell r="B580" t="str">
            <v>Course d'éjection utile :</v>
          </cell>
          <cell r="C580" t="str">
            <v>Necessary jection stroke :</v>
          </cell>
          <cell r="D580" t="str">
            <v>Konieczny zakres wyrzutnika</v>
          </cell>
          <cell r="E580" t="str">
            <v>Cursa de aruncare utila :</v>
          </cell>
          <cell r="F580" t="str">
            <v>Carrera de expulsión útil</v>
          </cell>
          <cell r="G580" t="str">
            <v>Curso de extracção</v>
          </cell>
          <cell r="H580" t="str">
            <v xml:space="preserve"> --&gt; hungarian ?</v>
          </cell>
          <cell r="I580" t="str">
            <v>pohyb vyhadzovača</v>
          </cell>
          <cell r="J580" t="str">
            <v xml:space="preserve"> </v>
          </cell>
        </row>
        <row r="581">
          <cell r="A581">
            <v>580</v>
          </cell>
          <cell r="B581" t="str">
            <v>Course protection moule :</v>
          </cell>
          <cell r="C581" t="str">
            <v>mould safety stroke :</v>
          </cell>
          <cell r="D581" t="str">
            <v>Zakres bezpieczeństwa formy</v>
          </cell>
          <cell r="E581" t="str">
            <v>Cursa protectie a matritei :</v>
          </cell>
          <cell r="F581" t="str">
            <v>Carrera seguridad molde</v>
          </cell>
          <cell r="G581" t="str">
            <v>Curso de segurança de molde</v>
          </cell>
          <cell r="H581" t="str">
            <v xml:space="preserve"> --&gt; hungarian ?</v>
          </cell>
          <cell r="I581" t="str">
            <v>Dráha ochrany Formy :</v>
          </cell>
          <cell r="J581" t="str">
            <v xml:space="preserve"> </v>
          </cell>
        </row>
        <row r="582">
          <cell r="A582">
            <v>581</v>
          </cell>
          <cell r="B582" t="str">
            <v>Course d'ouverture optimisee</v>
          </cell>
          <cell r="C582" t="str">
            <v>Optimized opening stroke</v>
          </cell>
          <cell r="D582" t="str">
            <v>Optymalny zakres otwierania</v>
          </cell>
          <cell r="E582" t="str">
            <v>Cursa de deschidere optima</v>
          </cell>
          <cell r="F582" t="str">
            <v>Carrera de apertura optima</v>
          </cell>
          <cell r="G582" t="str">
            <v>Curso de abertura optimizado</v>
          </cell>
          <cell r="H582" t="str">
            <v xml:space="preserve"> --&gt; hungarian ?</v>
          </cell>
          <cell r="I582" t="str">
            <v>pohyb optimálneho otvorenia</v>
          </cell>
          <cell r="J582" t="str">
            <v xml:space="preserve"> </v>
          </cell>
        </row>
        <row r="583">
          <cell r="A583">
            <v>582</v>
          </cell>
          <cell r="B583" t="str">
            <v>Fermeture</v>
          </cell>
          <cell r="C583" t="str">
            <v>Closing</v>
          </cell>
          <cell r="D583" t="str">
            <v>Zamknięcie</v>
          </cell>
          <cell r="E583" t="str">
            <v>Inchidere</v>
          </cell>
          <cell r="F583" t="str">
            <v>Cierre</v>
          </cell>
          <cell r="G583" t="str">
            <v>Fecho, Abertura, Extracção</v>
          </cell>
          <cell r="H583" t="str">
            <v>Zár</v>
          </cell>
          <cell r="I583" t="str">
            <v>zatvorenie</v>
          </cell>
          <cell r="J583" t="str">
            <v xml:space="preserve"> </v>
          </cell>
        </row>
        <row r="584">
          <cell r="A584">
            <v>583</v>
          </cell>
          <cell r="B584" t="str">
            <v>Ouverture</v>
          </cell>
          <cell r="C584" t="str">
            <v>Opening</v>
          </cell>
          <cell r="D584" t="str">
            <v>Otwarcie</v>
          </cell>
          <cell r="E584" t="str">
            <v>Deschidere</v>
          </cell>
          <cell r="F584" t="str">
            <v>apertura</v>
          </cell>
          <cell r="G584" t="str">
            <v>Abertura</v>
          </cell>
          <cell r="H584" t="str">
            <v>Nyitási</v>
          </cell>
          <cell r="I584" t="str">
            <v>Otváranie</v>
          </cell>
          <cell r="J584" t="str">
            <v xml:space="preserve"> </v>
          </cell>
        </row>
        <row r="585">
          <cell r="A585">
            <v>584</v>
          </cell>
          <cell r="J585" t="str">
            <v xml:space="preserve"> </v>
          </cell>
        </row>
        <row r="586">
          <cell r="A586">
            <v>585</v>
          </cell>
          <cell r="J586" t="str">
            <v xml:space="preserve"> </v>
          </cell>
        </row>
        <row r="587">
          <cell r="A587">
            <v>586</v>
          </cell>
          <cell r="B587" t="str">
            <v>Vous pouvez choisir la langue de ce dossier par sélection dans la cellule (T1-V1) ci-dessus.</v>
          </cell>
          <cell r="C587" t="str">
            <v>You can choose the language in this file by selecting in the above cell (T1-V1).</v>
          </cell>
          <cell r="D587" t="str">
            <v>Możliwość zmiany języka poprzez wybór pola ( T1 - V1)</v>
          </cell>
          <cell r="E587" t="str">
            <v>Puteti alege limba in acest fisier selectand in celula de mai sus (T1-V1)</v>
          </cell>
          <cell r="F587" t="str">
            <v>Puedes escoger la lengua en este archivo, seleccionando dentro de la celda superior (T1-V1)</v>
          </cell>
          <cell r="G587" t="str">
            <v>Para selecionar a ligua de utilização deste dossier, entre na Céllula ( T1-V1) e seleccione.</v>
          </cell>
          <cell r="H587" t="str">
            <v>Sorry, Hungarian translation is under construction</v>
          </cell>
          <cell r="I587" t="str">
            <v>môžete si vybrať jazyk v tejto zložke výberom v kolonke ( T1-V1 ) viď dole</v>
          </cell>
          <cell r="J587" t="str">
            <v xml:space="preserve"> </v>
          </cell>
        </row>
        <row r="588">
          <cell r="A588">
            <v>587</v>
          </cell>
          <cell r="B588" t="str">
            <v>Cliquer les boîtes des cellules S2 et S4, cela changera toutes les pages du dossier.</v>
          </cell>
          <cell r="C588" t="str">
            <v>Click on the boxes in cells S2 and S4, that will change all pages in the file.</v>
          </cell>
          <cell r="D588" t="str">
            <v>Kliknięcie w komórkach S2 i S4 powoduje zmiany na wszystkich stronach.</v>
          </cell>
          <cell r="E588" t="str">
            <v>dati clic in cutiile din celula S2 si S4, aceasta va schimba toate paginile din fisier</v>
          </cell>
          <cell r="F588" t="str">
            <v>Pulsar en el recuadro en celda S2 Y S4, cambiará todas las páginas del dossier</v>
          </cell>
          <cell r="G588" t="str">
            <v>se carregar nas caixas das células S2 e S4 todas as páginas do dossier estarão na lingua seleccionada</v>
          </cell>
          <cell r="H588" t="str">
            <v>Sorry, Hungarian translation is under construction</v>
          </cell>
          <cell r="I588" t="str">
            <v>kliknúť na kolonku S2 a S4, táto zmení všetky strany záložky</v>
          </cell>
          <cell r="J588" t="str">
            <v xml:space="preserve"> </v>
          </cell>
        </row>
        <row r="589">
          <cell r="A589">
            <v>588</v>
          </cell>
          <cell r="B589" t="str">
            <v>Toutes cellules jaunes avec un "." sont des entrées.</v>
          </cell>
          <cell r="C589" t="str">
            <v>All yellow cells with a "." in it are for input datas.</v>
          </cell>
          <cell r="D589" t="str">
            <v>Wszystkie żółte komórki z " ." są do wpisywania danych.</v>
          </cell>
          <cell r="E589" t="str">
            <v>Toate celulele galbene cu un "." sunt intrari.</v>
          </cell>
          <cell r="F589" t="str">
            <v>Todas las celdas amarillas con "." son para cumplimentar</v>
          </cell>
          <cell r="G589" t="str">
            <v>Todas as células amarelas com "." são células de entrada de dados</v>
          </cell>
          <cell r="H589" t="str">
            <v>Sorry, Hungarian translation is under construction</v>
          </cell>
          <cell r="I589" t="str">
            <v>všetky žlté kolonky s úvodzovkami sú vstupy pre údaje</v>
          </cell>
          <cell r="J589" t="str">
            <v xml:space="preserve"> </v>
          </cell>
        </row>
        <row r="590">
          <cell r="A590">
            <v>589</v>
          </cell>
          <cell r="B590" t="str">
            <v>Toutes les cellules grises sont des données provenant d'autres pages (ne pas supprimer).</v>
          </cell>
          <cell r="C590" t="str">
            <v>All grey cells are datas from another pages (recommendation to do not suppress).</v>
          </cell>
          <cell r="D590" t="str">
            <v>Wszystkie szare komórki zawierają dane z innych stron    ( nie kasować)</v>
          </cell>
          <cell r="E590" t="str">
            <v>Toate celulele gri sunt date provenite de pe alte pagini (nu le stergeti).</v>
          </cell>
          <cell r="F590" t="str">
            <v>Todas las celdas grises son datos que provienen de otras páginas ( no suprimir)</v>
          </cell>
          <cell r="G590" t="str">
            <v>Todas as células cinza são células que cotêm dados provenientes de outras folhas,  por favor não as apague.</v>
          </cell>
          <cell r="H590" t="str">
            <v>Sorry, Hungarian translation is under construction</v>
          </cell>
          <cell r="I590" t="str">
            <v>všetky sivé kolonky sú údaje pre iné stránky ( Nezmazať )</v>
          </cell>
          <cell r="J590" t="str">
            <v xml:space="preserve"> </v>
          </cell>
        </row>
        <row r="591">
          <cell r="A591">
            <v>590</v>
          </cell>
          <cell r="B591" t="str">
            <v>Dans cette page, il y a une requête qui va rechercher les données dans la GPAO.</v>
          </cell>
          <cell r="C591" t="str">
            <v>In this page, a request searchs the data from the CAPM.</v>
          </cell>
          <cell r="D591" t="str">
            <v>Na tej stronie znajduje się polecenie wyszukiwania danych w GPAO</v>
          </cell>
          <cell r="E591" t="str">
            <v>in aceasta pagina, este o cerere care va cauta date in GPAO</v>
          </cell>
          <cell r="F591" t="str">
            <v>En esta página, hay un requisito que busca los datos dentro de la GPAO</v>
          </cell>
          <cell r="G591" t="str">
            <v>Nesta pagina existe uma ligação automática que recolhe informação directamente do GPAO.</v>
          </cell>
          <cell r="H591" t="str">
            <v>Sorry, Hungarian translation is under construction</v>
          </cell>
          <cell r="I591" t="str">
            <v>na tejto stránke je zadaný vzorec, podľa ktorého budú údaje preberané z GPAO</v>
          </cell>
          <cell r="J591" t="str">
            <v xml:space="preserve"> </v>
          </cell>
        </row>
        <row r="592">
          <cell r="A592">
            <v>591</v>
          </cell>
          <cell r="B592" t="str">
            <v>Ne pas modifier les noms des pages "1" et "5".</v>
          </cell>
          <cell r="C592" t="str">
            <v>Do not modify the names of pages "1" and "5"</v>
          </cell>
          <cell r="D592" t="str">
            <v>Nie zmieniaj nazw stron             " 1 " i " 5"</v>
          </cell>
          <cell r="E592" t="str">
            <v>nu modificati numele paginilor 1 si 5</v>
          </cell>
          <cell r="F592" t="str">
            <v>No modificar el nombre de las paginas "1" y "5"</v>
          </cell>
          <cell r="G592" t="str">
            <v>Não modificar os nomes das paginas "1" e "5".</v>
          </cell>
          <cell r="H592" t="str">
            <v>Sorry, Hungarian translation is under construction</v>
          </cell>
          <cell r="I592" t="str">
            <v>nemeniť názvy strán "1" et "5".</v>
          </cell>
          <cell r="J592" t="str">
            <v xml:space="preserve"> </v>
          </cell>
        </row>
        <row r="593">
          <cell r="A593">
            <v>592</v>
          </cell>
          <cell r="B593" t="str">
            <v>Pour alléger le dossier technique final, vous pouvez supprimer tous les schémas inutiles (ex. palette)</v>
          </cell>
          <cell r="C593" t="str">
            <v>To reduce the size of the final file, you can suppress photos or schemes (e.g. Paletts).</v>
          </cell>
          <cell r="D593" t="str">
            <v>Aby zmniejszyć rozmiar pliku końcowego, można skasować niepotrzebne zdjęcia lub schematy ( np. palety)</v>
          </cell>
          <cell r="E593" t="str">
            <v>pentru a reduce dimensiunea fisierului final, puteti reprima poze sau scheme (ex. paleti)</v>
          </cell>
          <cell r="F593" t="str">
            <v>Para reducir el tamaño del dosier técnico, se pueden suprimir todos los esquemas no utilizados ( ej. Palet)</v>
          </cell>
          <cell r="G593" t="str">
            <v>Para reduzir o tamanho do Ficheiro " Dossier Tecnico" pode suprimir todos os esquemas não necessários.</v>
          </cell>
          <cell r="H593" t="str">
            <v>Sorry, Hungarian translation is under construction</v>
          </cell>
          <cell r="I593" t="str">
            <v>pre zjednodušenie tech.dokumentácie, môžte vymazať všetky nepotrebné schémy ( napr. palette )</v>
          </cell>
          <cell r="J593" t="str">
            <v xml:space="preserve"> </v>
          </cell>
        </row>
        <row r="594">
          <cell r="A594">
            <v>593</v>
          </cell>
          <cell r="B594" t="str">
            <v>Entrée</v>
          </cell>
          <cell r="C594" t="str">
            <v>Input</v>
          </cell>
          <cell r="D594" t="str">
            <v xml:space="preserve">Wejście </v>
          </cell>
          <cell r="E594" t="str">
            <v>Intrare</v>
          </cell>
          <cell r="F594" t="str">
            <v>Entrada</v>
          </cell>
          <cell r="G594" t="str">
            <v>Dados de entrada</v>
          </cell>
          <cell r="H594" t="str">
            <v>Beviteli</v>
          </cell>
          <cell r="I594" t="str">
            <v>Vstup</v>
          </cell>
          <cell r="J594" t="str">
            <v xml:space="preserve"> </v>
          </cell>
        </row>
        <row r="595">
          <cell r="A595">
            <v>594</v>
          </cell>
          <cell r="B595" t="str">
            <v>Sortie</v>
          </cell>
          <cell r="C595" t="str">
            <v>Output</v>
          </cell>
          <cell r="D595" t="str">
            <v>Wyjście</v>
          </cell>
          <cell r="E595" t="str">
            <v>Iesire</v>
          </cell>
          <cell r="F595" t="str">
            <v>Salida</v>
          </cell>
          <cell r="G595" t="str">
            <v>Dados de saida</v>
          </cell>
          <cell r="H595" t="str">
            <v>Kiviteli</v>
          </cell>
          <cell r="I595" t="str">
            <v>Výstup</v>
          </cell>
          <cell r="J595" t="str">
            <v xml:space="preserve"> </v>
          </cell>
        </row>
        <row r="596">
          <cell r="A596">
            <v>595</v>
          </cell>
          <cell r="B596" t="str">
            <v>Avez-vous pensé à modifier les dates et à éditer les pages modifiées/sommaire/évolution avant de fermer le fichier ? Sinon ANNULER l'enregistrement.</v>
          </cell>
          <cell r="C596" t="str">
            <v>Did you think about to modify the dates and print the modified pages / summary before closing the file ? If not CANCEL the recording.</v>
          </cell>
          <cell r="D596" t="str">
            <v>Zanim zamkniesz plik pomyśl o zmianie dat i wydrukowaniu zmodyfikowanych stron? Jeżeli tego nie zrobiłeś anuluj zapisywanie.</v>
          </cell>
          <cell r="E596" t="str">
            <v>V-ati gandit sa modificati datele si sa imprimati paginile modificate/ cuprinsul inainte de inchiderea dosarului? Daca nu ANULATI inregistrarea.</v>
          </cell>
          <cell r="F596" t="str">
            <v>Ha guaradado los datos e impreso las modificaciones / resumen / evolución antes de cerrar el archivo? Sino anular el registro</v>
          </cell>
          <cell r="G596" t="str">
            <v>Após modificação do Dossier Tecnico não esquecer de actualizar as datas e editar as páginas modificadas. Não gravar o ficheiro sem as actualizações realizadas</v>
          </cell>
          <cell r="H596" t="str">
            <v>Sorry, Hungarian translation is under construction</v>
          </cell>
          <cell r="I596" t="str">
            <v>Sorry, Slovakian translation is under construction</v>
          </cell>
          <cell r="J596" t="str">
            <v xml:space="preserve"> </v>
          </cell>
        </row>
        <row r="597">
          <cell r="A597">
            <v>596</v>
          </cell>
          <cell r="B597" t="str">
            <v>Fonction soufflage partie fixe</v>
          </cell>
          <cell r="C597" t="str">
            <v>Blow-up function fixed part</v>
          </cell>
          <cell r="D597" t="str">
            <v>Funkcja wydmuchu dla części stałej</v>
          </cell>
          <cell r="E597" t="str">
            <v xml:space="preserve">Miezuri parte fixa </v>
          </cell>
          <cell r="F597" t="str">
            <v>Función soplado parte fija</v>
          </cell>
          <cell r="G597" t="str">
            <v>Função de sopro lado fixo</v>
          </cell>
          <cell r="H597" t="str">
            <v>Befúvási funkció állórész</v>
          </cell>
          <cell r="J597" t="str">
            <v xml:space="preserve"> </v>
          </cell>
        </row>
        <row r="598">
          <cell r="A598">
            <v>597</v>
          </cell>
          <cell r="B598" t="str">
            <v>Fonction soufflage partie mobile</v>
          </cell>
          <cell r="C598" t="str">
            <v>Blow-up function mobile part</v>
          </cell>
          <cell r="D598" t="str">
            <v>Funkcja wydmuchu dla części ruchomej</v>
          </cell>
          <cell r="E598" t="str">
            <v>Miezuri parte mobila</v>
          </cell>
          <cell r="F598" t="str">
            <v>Función soplado parte móvil</v>
          </cell>
          <cell r="G598" t="str">
            <v>Função de sopro lado movel</v>
          </cell>
          <cell r="H598" t="str">
            <v>befúvási funkció mozgórész</v>
          </cell>
          <cell r="J598" t="str">
            <v xml:space="preserve"> </v>
          </cell>
        </row>
        <row r="599">
          <cell r="A599">
            <v>598</v>
          </cell>
          <cell r="B599" t="str">
            <v>Mode</v>
          </cell>
          <cell r="C599" t="str">
            <v>Mode</v>
          </cell>
          <cell r="D599" t="str">
            <v>Tryb</v>
          </cell>
          <cell r="E599" t="str">
            <v>Mod</v>
          </cell>
          <cell r="F599" t="str">
            <v>moda</v>
          </cell>
          <cell r="G599" t="str">
            <v>Modo operatório e de auto- controlo</v>
          </cell>
          <cell r="H599" t="str">
            <v xml:space="preserve"> --&gt; hungarian ?</v>
          </cell>
          <cell r="I599" t="str">
            <v>postup</v>
          </cell>
          <cell r="J599" t="str">
            <v xml:space="preserve"> </v>
          </cell>
        </row>
        <row r="600">
          <cell r="A600">
            <v>599</v>
          </cell>
          <cell r="J600" t="str">
            <v xml:space="preserve"> </v>
          </cell>
        </row>
        <row r="601">
          <cell r="A601">
            <v>600</v>
          </cell>
          <cell r="B601" t="str">
            <v xml:space="preserve">FICHE DE NON-CONFORMITE </v>
          </cell>
          <cell r="C601" t="str">
            <v>NON CONFORMITY FORM</v>
          </cell>
          <cell r="D601" t="str">
            <v>Formularz niezgodności</v>
          </cell>
          <cell r="E601" t="str">
            <v>FISA DE NONCONFORMITATE</v>
          </cell>
          <cell r="F601" t="str">
            <v>FICHA DE NO CONFORMIDAD</v>
          </cell>
          <cell r="G601" t="str">
            <v>FICHA DE NÃO CONFORMIDADE</v>
          </cell>
          <cell r="H601" t="str">
            <v>NEM-MEGFELELÕSÉGI FORMULA</v>
          </cell>
          <cell r="I601" t="str">
            <v>záznam nezhody</v>
          </cell>
          <cell r="J601" t="str">
            <v xml:space="preserve"> </v>
          </cell>
        </row>
        <row r="602">
          <cell r="A602">
            <v>601</v>
          </cell>
          <cell r="B602" t="str">
            <v>Détection par :</v>
          </cell>
          <cell r="C602" t="str">
            <v>Detection by :</v>
          </cell>
          <cell r="D602" t="str">
            <v>Wykrycie przez:</v>
          </cell>
          <cell r="E602" t="str">
            <v>Descoperit de:</v>
          </cell>
          <cell r="F602" t="str">
            <v>Detectado por:</v>
          </cell>
          <cell r="G602" t="str">
            <v>Detectado Por:</v>
          </cell>
          <cell r="H602" t="str">
            <v>Észlelõ</v>
          </cell>
          <cell r="I602" t="str">
            <v>detekcia kým :</v>
          </cell>
          <cell r="J602" t="str">
            <v xml:space="preserve"> </v>
          </cell>
        </row>
        <row r="603">
          <cell r="A603">
            <v>602</v>
          </cell>
          <cell r="B603" t="str">
            <v>1 : DESCRIPTION DE LA NON-CONFORMITE</v>
          </cell>
          <cell r="C603" t="str">
            <v>1 : NON CONFORMITY DESCRIPTION</v>
          </cell>
          <cell r="D603" t="str">
            <v>1 : OPIS NIEZGODNOŚCI</v>
          </cell>
          <cell r="E603" t="str">
            <v>1: DESCRIEREA NONCONFORMITATIII</v>
          </cell>
          <cell r="F603" t="str">
            <v>1: DESCRIPCIÓN DE LA NO CONFORMIDAD</v>
          </cell>
          <cell r="G603" t="str">
            <v>1: DESCRIÇÃO DA NÃO CONFORMIDADE</v>
          </cell>
          <cell r="H603" t="str">
            <v>1 : A nem-megfelelõség leírásá</v>
          </cell>
          <cell r="I603" t="str">
            <v>1 : popis nezhody</v>
          </cell>
          <cell r="J603" t="str">
            <v xml:space="preserve"> </v>
          </cell>
        </row>
        <row r="604">
          <cell r="A604">
            <v>603</v>
          </cell>
          <cell r="B604" t="str">
            <v>Description du problème  :</v>
          </cell>
          <cell r="C604" t="str">
            <v>Problem description :</v>
          </cell>
          <cell r="D604" t="str">
            <v>Opis problemu</v>
          </cell>
          <cell r="E604" t="str">
            <v>Descrierea problemei:</v>
          </cell>
          <cell r="F604" t="str">
            <v>Descripción del problema</v>
          </cell>
          <cell r="G604" t="str">
            <v>Descrição do probléma</v>
          </cell>
          <cell r="H604" t="str">
            <v>Probléma leírása</v>
          </cell>
          <cell r="I604" t="str">
            <v>popis problému</v>
          </cell>
          <cell r="J604" t="str">
            <v xml:space="preserve"> </v>
          </cell>
        </row>
        <row r="605">
          <cell r="A605">
            <v>604</v>
          </cell>
          <cell r="B605" t="str">
            <v>Récurrence :</v>
          </cell>
          <cell r="C605" t="str">
            <v>Recurrence :</v>
          </cell>
          <cell r="D605" t="str">
            <v>Cykl :</v>
          </cell>
          <cell r="E605" t="str">
            <v>Recurenta:</v>
          </cell>
          <cell r="F605" t="str">
            <v>Recurrencia</v>
          </cell>
          <cell r="G605" t="str">
            <v>Reocurrente:</v>
          </cell>
          <cell r="H605" t="str">
            <v>Ismétlődő hiba :</v>
          </cell>
          <cell r="I605" t="str">
            <v>Opakovanie:</v>
          </cell>
          <cell r="J605" t="str">
            <v xml:space="preserve"> </v>
          </cell>
        </row>
        <row r="606">
          <cell r="A606">
            <v>605</v>
          </cell>
          <cell r="B606" t="str">
            <v>Quantités à traiter</v>
          </cell>
          <cell r="C606" t="str">
            <v>Quantity to deal with</v>
          </cell>
          <cell r="D606" t="str">
            <v xml:space="preserve">Ilośc </v>
          </cell>
          <cell r="E606" t="str">
            <v>Cantitati de tratat:</v>
          </cell>
          <cell r="F606" t="str">
            <v>Cantidades a tratar</v>
          </cell>
          <cell r="G606" t="str">
            <v>Quantidade Suspeita</v>
          </cell>
          <cell r="H606" t="str">
            <v>Legyártott mennyiség</v>
          </cell>
          <cell r="I606" t="str">
            <v>množstvo na úpravu</v>
          </cell>
          <cell r="J606" t="str">
            <v xml:space="preserve"> </v>
          </cell>
        </row>
        <row r="607">
          <cell r="A607">
            <v>606</v>
          </cell>
          <cell r="B607" t="str">
            <v>Magasin(s) produits finis :</v>
          </cell>
          <cell r="C607" t="str">
            <v>Finished parts warehouse</v>
          </cell>
          <cell r="D607" t="str">
            <v>Magazyn wyrobów gotowych</v>
          </cell>
          <cell r="E607" t="str">
            <v>Magazie (magazii) produse finite:</v>
          </cell>
          <cell r="F607" t="str">
            <v>Almacén prod acabado :</v>
          </cell>
          <cell r="G607" t="str">
            <v>Quantidade Suspeita de Produto Acabado</v>
          </cell>
          <cell r="H607" t="str">
            <v>Késztermék a raktárban</v>
          </cell>
          <cell r="I607" t="str">
            <v>sklad finál.produktu</v>
          </cell>
          <cell r="J607" t="str">
            <v xml:space="preserve"> </v>
          </cell>
        </row>
        <row r="608">
          <cell r="A608">
            <v>607</v>
          </cell>
          <cell r="B608" t="str">
            <v>Magasin(s) prod. semis-finis :</v>
          </cell>
          <cell r="C608" t="str">
            <v>Semi-Finished parts warehouse</v>
          </cell>
          <cell r="D608" t="str">
            <v>Magazyn półproduktów</v>
          </cell>
          <cell r="E608" t="str">
            <v>Magazie (magazii) produse semi-finite:</v>
          </cell>
          <cell r="F608" t="str">
            <v>Almacén prod semiacabado :</v>
          </cell>
          <cell r="G608" t="str">
            <v>Quantidade Suspeita de Produto Semi-acabado</v>
          </cell>
          <cell r="H608" t="str">
            <v xml:space="preserve"> Félkésztermék a raktárban</v>
          </cell>
          <cell r="I608" t="str">
            <v>sklad produktu semi-fini</v>
          </cell>
          <cell r="J608" t="str">
            <v xml:space="preserve"> </v>
          </cell>
        </row>
        <row r="609">
          <cell r="A609">
            <v>608</v>
          </cell>
          <cell r="B609" t="str">
            <v>Autre(s) atelier(s) :</v>
          </cell>
          <cell r="C609" t="str">
            <v>Other workshop</v>
          </cell>
          <cell r="D609" t="str">
            <v>Inne strefy</v>
          </cell>
          <cell r="E609" t="str">
            <v>Alt(e) atelier(e):</v>
          </cell>
          <cell r="F609" t="str">
            <v>Otro taller :</v>
          </cell>
          <cell r="G609" t="str">
            <v>Outro(s)</v>
          </cell>
          <cell r="H609" t="str">
            <v>Más üzemben</v>
          </cell>
          <cell r="I609" t="str">
            <v>iná dielňa</v>
          </cell>
          <cell r="J609" t="str">
            <v xml:space="preserve"> </v>
          </cell>
        </row>
        <row r="610">
          <cell r="A610">
            <v>609</v>
          </cell>
          <cell r="B610" t="str">
            <v>Zone 'bloqué' :</v>
          </cell>
          <cell r="C610" t="str">
            <v>Quarantine area</v>
          </cell>
          <cell r="D610" t="str">
            <v>Strefa blokad</v>
          </cell>
          <cell r="E610" t="str">
            <v>Zona "blocata":</v>
          </cell>
          <cell r="F610" t="str">
            <v>Zona "bloqueo"</v>
          </cell>
          <cell r="G610" t="str">
            <v xml:space="preserve">Zona de Produto Rejeitado </v>
          </cell>
          <cell r="H610" t="str">
            <v>Zárolt területen</v>
          </cell>
          <cell r="I610" t="str">
            <v>blokovaná zóna</v>
          </cell>
          <cell r="J610" t="str">
            <v xml:space="preserve"> </v>
          </cell>
        </row>
        <row r="611">
          <cell r="A611">
            <v>610</v>
          </cell>
          <cell r="B611" t="str">
            <v>Intervention chez le client :</v>
          </cell>
          <cell r="C611" t="str">
            <v>Intervention in customer's plant :</v>
          </cell>
          <cell r="D611" t="str">
            <v>Interwencja u klienta</v>
          </cell>
          <cell r="E611" t="str">
            <v>Interventie la client</v>
          </cell>
          <cell r="F611" t="str">
            <v>Intervención en el cliente:</v>
          </cell>
          <cell r="G611" t="str">
            <v>Intervenção no Cliente:</v>
          </cell>
          <cell r="H611" t="str">
            <v>Akció a vevőnél</v>
          </cell>
          <cell r="I611" t="str">
            <v>intervencia u klienta</v>
          </cell>
          <cell r="J611" t="str">
            <v xml:space="preserve"> </v>
          </cell>
        </row>
        <row r="612">
          <cell r="A612">
            <v>611</v>
          </cell>
          <cell r="B612" t="str">
            <v>D'autres produits peuvent-ils être concernés ?</v>
          </cell>
          <cell r="C612" t="str">
            <v>Are there other products concerned ?</v>
          </cell>
          <cell r="D612" t="str">
            <v>Powiązanie z innymi produktami ?</v>
          </cell>
          <cell r="E612" t="str">
            <v>Alte produse ar putea fi afectate</v>
          </cell>
          <cell r="F612" t="str">
            <v>Otros productos pueden estar afectados?</v>
          </cell>
          <cell r="G612" t="str">
            <v>Possibilidade de outros produtos apresentarem a mesma não conformidade?</v>
          </cell>
          <cell r="H612" t="str">
            <v>Egyéb termékek érintettek ?</v>
          </cell>
          <cell r="I612" t="str">
            <v>môže sa to týkať aj iných výrobkov ?</v>
          </cell>
          <cell r="J612" t="str">
            <v xml:space="preserve"> </v>
          </cell>
        </row>
        <row r="613">
          <cell r="A613">
            <v>612</v>
          </cell>
          <cell r="B613" t="str">
            <v>Solution temporaire mise en œuvre : (tri interne/ chez le client, retouche, rebut, dérogation,…) :</v>
          </cell>
          <cell r="C613" t="str">
            <v>Temporary solution carried out : (internal / customer out, rework, scrap, concession,…) :</v>
          </cell>
          <cell r="D613" t="str">
            <v>Rozwiązanie tymczasowe</v>
          </cell>
          <cell r="E613" t="str">
            <v>Solutie aplicata temporar:(triere interna, externa, la client, retus, rebut, derogare...):</v>
          </cell>
          <cell r="F613" t="str">
            <v>Solución temporal hecha por: ( selección interna/selección en cliente/ retoque/ rechazo, derogación…):</v>
          </cell>
          <cell r="G613" t="str">
            <v>Acção de contenção ( Triagem Interna, no cliente, retrabalho, derrogação, destruição, …)</v>
          </cell>
          <cell r="H613" t="str">
            <v>Elfogadott javító intézkedések : (belső /külső, utómunka, selejt, engedélyezés,…)</v>
          </cell>
          <cell r="I613" t="str">
            <v>zavedené dočasné riešenie : ( triedenie interné / u klienta, oprava, vyradenie, dočasne povolené )</v>
          </cell>
          <cell r="J613" t="str">
            <v xml:space="preserve"> </v>
          </cell>
        </row>
        <row r="614">
          <cell r="A614">
            <v>613</v>
          </cell>
          <cell r="B614" t="str">
            <v xml:space="preserve">Repérage des produits : </v>
          </cell>
          <cell r="C614" t="str">
            <v xml:space="preserve">Product identification : </v>
          </cell>
          <cell r="D614" t="str">
            <v>Identyfikacje produktów</v>
          </cell>
          <cell r="E614" t="str">
            <v>Identificarea produselor:</v>
          </cell>
          <cell r="F614" t="str">
            <v>Identificación del producto:</v>
          </cell>
          <cell r="G614" t="str">
            <v>Identificação do produto</v>
          </cell>
          <cell r="H614" t="str">
            <v xml:space="preserve"> Termék azonosítás :</v>
          </cell>
          <cell r="I614" t="str">
            <v>označenie kusov :</v>
          </cell>
          <cell r="J614" t="str">
            <v xml:space="preserve"> </v>
          </cell>
        </row>
        <row r="615">
          <cell r="A615">
            <v>614</v>
          </cell>
          <cell r="B615" t="str">
            <v>Durée ou Quantité :</v>
          </cell>
          <cell r="C615" t="str">
            <v>Time or Quantity :</v>
          </cell>
          <cell r="D615" t="str">
            <v>Czas lub ilość</v>
          </cell>
          <cell r="E615" t="str">
            <v>Durata sau Cantitate :</v>
          </cell>
          <cell r="F615" t="str">
            <v>Duración o cantidad :</v>
          </cell>
          <cell r="G615" t="str">
            <v>Duração ou Quantidade</v>
          </cell>
          <cell r="H615" t="str">
            <v>Időtartam vagy mennyiség :</v>
          </cell>
          <cell r="I615" t="str">
            <v>trvanie alebo množstvo</v>
          </cell>
          <cell r="J615" t="str">
            <v xml:space="preserve"> </v>
          </cell>
        </row>
        <row r="616">
          <cell r="A616">
            <v>615</v>
          </cell>
          <cell r="B616" t="str">
            <v>2 : DEMARCHE P.D.C.A. (Prévoir-Développer-Contrôler-Améliorer)</v>
          </cell>
          <cell r="C616" t="str">
            <v>2 : P.D.C.A. METHOD   (Plan-Do-Check-Act)</v>
          </cell>
          <cell r="D616" t="str">
            <v>2: METODA P.D.C.A.( Zaplanować, zrobić, sprawdzić, ulepszyć)</v>
          </cell>
          <cell r="E616" t="str">
            <v>2:DEMERS P.D.C.A.(prevezi-actionezi-controlezi-amelioreze )</v>
          </cell>
          <cell r="F616" t="str">
            <v>P.D.C.A Método ( Planificar- Hacer- Controlar- Mejorar)</v>
          </cell>
          <cell r="G616" t="str">
            <v>2: ABERTURA do PDCA ( Plan Do- Check -Act)</v>
          </cell>
          <cell r="H616" t="str">
            <v>2 : PDCA folyamat (Tervezés- Végrehajtás- Visszaellenőrzés-Véglegesités)   P.D.C.A. METHOD   (Plan-Do-Check-Act)</v>
          </cell>
          <cell r="I616" t="str">
            <v>2 : P.D.C.A.( Plánovať-Vykonať-Kontrolovať-Vylepšiť )</v>
          </cell>
          <cell r="J616" t="str">
            <v xml:space="preserve"> </v>
          </cell>
        </row>
        <row r="617">
          <cell r="A617">
            <v>616</v>
          </cell>
          <cell r="B617" t="str">
            <v>Collecter les données : (Traçabilité, % de rebuts, Pareto…)</v>
          </cell>
          <cell r="C617" t="str">
            <v>Collect data : (Traceability, % of scrap, Pareto…)</v>
          </cell>
          <cell r="D617" t="str">
            <v>Zbieranie danych : ( śledzenie, % odrzutu, ..</v>
          </cell>
          <cell r="E617" t="str">
            <v>Colectati datele: (trasabilitate,% de rebuturi, Pareto...)</v>
          </cell>
          <cell r="F617" t="str">
            <v>Recogida de datos ( trazabilidad, % de rechazo, pareto,..)</v>
          </cell>
          <cell r="G617" t="str">
            <v>Recolha de Dados: ( rastreablidade; % de não conformes; Pareto…)</v>
          </cell>
          <cell r="H617" t="str">
            <v>Adatgyüjtés (Nyomonkövetés, selejtszázalék,  Pareto)</v>
          </cell>
          <cell r="I617" t="str">
            <v>Kontrolovať údaje : ( trasabilita, % nepodarkov, Pareto ... )</v>
          </cell>
          <cell r="J617" t="str">
            <v xml:space="preserve"> </v>
          </cell>
        </row>
        <row r="618">
          <cell r="A618">
            <v>617</v>
          </cell>
          <cell r="B618" t="str">
            <v>Analyser les causes (5 Pourquoi, Brainstorming, Diagramme causes-effets)</v>
          </cell>
          <cell r="C618" t="str">
            <v>Causes Analysis : (5 whys, Brainstorming, Cause-effect-Ishikawa diagram)</v>
          </cell>
          <cell r="D618" t="str">
            <v>Analiza przyczyn : ( 5 x Dlaczego, Diagram przyczyn - efektów)</v>
          </cell>
          <cell r="E618" t="str">
            <v>Analizati cauzele(5 De ce, Brainstorming, Diagrama cause-efecte)</v>
          </cell>
          <cell r="F618" t="str">
            <v>Analizar causas (5 por qué, Brainstorming, Diagrama causa-efecto)</v>
          </cell>
          <cell r="G618" t="str">
            <v>Identificação das causas :( 5 Porquês, Tempestade de ideias; Diagrama de Causa Efeito…)</v>
          </cell>
          <cell r="H618" t="str">
            <v>Az okok analizálása (5Miért, Brain storming, ok-okozat diagram)</v>
          </cell>
          <cell r="I618" t="str">
            <v>Analyzovať príčiny ( 5 prečo, Brainstorming, Diagram príčin-vplyvov )</v>
          </cell>
          <cell r="J618" t="str">
            <v xml:space="preserve"> </v>
          </cell>
        </row>
        <row r="619">
          <cell r="A619">
            <v>618</v>
          </cell>
          <cell r="B619" t="str">
            <v>Origine :</v>
          </cell>
          <cell r="C619" t="str">
            <v>Origin :</v>
          </cell>
          <cell r="D619" t="str">
            <v>Źródło</v>
          </cell>
          <cell r="E619" t="str">
            <v>Originea :</v>
          </cell>
          <cell r="F619" t="str">
            <v>Origen :</v>
          </cell>
          <cell r="G619" t="str">
            <v>Origem:</v>
          </cell>
          <cell r="H619" t="str">
            <v>Gyökérok :</v>
          </cell>
          <cell r="I619" t="str">
            <v>Pôvod :</v>
          </cell>
          <cell r="J619" t="str">
            <v xml:space="preserve"> </v>
          </cell>
        </row>
        <row r="620">
          <cell r="A620">
            <v>619</v>
          </cell>
          <cell r="B620" t="str">
            <v xml:space="preserve">Code Origine n° : </v>
          </cell>
          <cell r="C620" t="str">
            <v xml:space="preserve">Origin Code n° : </v>
          </cell>
          <cell r="D620" t="str">
            <v>Kod źródłowy nr</v>
          </cell>
          <cell r="E620" t="str">
            <v>Cod de origine nr.:</v>
          </cell>
          <cell r="F620" t="str">
            <v>Código origen n° :</v>
          </cell>
          <cell r="G620" t="str">
            <v>Codifo de origem Nº.</v>
          </cell>
          <cell r="H620" t="str">
            <v>Gyökérok kódja n° :</v>
          </cell>
          <cell r="I620" t="str">
            <v>Pôvod kód:</v>
          </cell>
          <cell r="J620" t="str">
            <v xml:space="preserve"> </v>
          </cell>
        </row>
        <row r="621">
          <cell r="A621">
            <v>620</v>
          </cell>
          <cell r="B621" t="str">
            <v>Lesquels :</v>
          </cell>
          <cell r="C621" t="str">
            <v>Which one :</v>
          </cell>
          <cell r="D621" t="str">
            <v xml:space="preserve">Które to: </v>
          </cell>
          <cell r="E621" t="str">
            <v>Care:</v>
          </cell>
          <cell r="F621" t="str">
            <v>El cual :</v>
          </cell>
          <cell r="G621" t="str">
            <v>Quais</v>
          </cell>
          <cell r="H621" t="str">
            <v>Melyiket :</v>
          </cell>
          <cell r="I621" t="str">
            <v>Ktoré :</v>
          </cell>
          <cell r="J621" t="str">
            <v xml:space="preserve"> </v>
          </cell>
        </row>
        <row r="622">
          <cell r="A622">
            <v>621</v>
          </cell>
          <cell r="B622" t="str">
            <v>Dispositifs anti-erreurs :</v>
          </cell>
          <cell r="C622" t="str">
            <v>Poka - Yoké :</v>
          </cell>
          <cell r="D622" t="str">
            <v>Poka - Yoke</v>
          </cell>
          <cell r="E622" t="str">
            <v>Dispositive anti-erori :</v>
          </cell>
          <cell r="F622" t="str">
            <v>Sistema poka-yoke</v>
          </cell>
          <cell r="G622" t="str">
            <v>Equipamentos anti-erro</v>
          </cell>
          <cell r="H622" t="str">
            <v>Egyéb terméket is érint az intézkedés</v>
          </cell>
          <cell r="I622" t="str">
            <v>k dispozícii Poka-Yoke</v>
          </cell>
          <cell r="J622" t="str">
            <v xml:space="preserve"> </v>
          </cell>
        </row>
        <row r="623">
          <cell r="A623">
            <v>622</v>
          </cell>
          <cell r="B623" t="str">
            <v>Contrôler / valider</v>
          </cell>
          <cell r="C623" t="str">
            <v xml:space="preserve">CHECK / VALIDATE </v>
          </cell>
          <cell r="D623" t="str">
            <v>Sprawdzić / Zatwierdzić</v>
          </cell>
          <cell r="E623" t="str">
            <v>Controlati / validati</v>
          </cell>
          <cell r="F623" t="str">
            <v>Controlar / Validar</v>
          </cell>
          <cell r="G623" t="str">
            <v>Controlar / validar</v>
          </cell>
          <cell r="H623" t="str">
            <v>ELLENÕRZÉS / JÓVÁHAGYÁS</v>
          </cell>
          <cell r="I623" t="str">
            <v>kontrolovať / overiť</v>
          </cell>
          <cell r="J623" t="str">
            <v xml:space="preserve"> </v>
          </cell>
        </row>
        <row r="624">
          <cell r="A624">
            <v>623</v>
          </cell>
          <cell r="B624" t="str">
            <v>Mesure de l'efficacité du plan d'action :</v>
          </cell>
          <cell r="C624" t="str">
            <v>Measurement of action plan effectiveness :</v>
          </cell>
          <cell r="D624" t="str">
            <v>Ocena skuteczności planu działania</v>
          </cell>
          <cell r="E624" t="str">
            <v>Masurarea eficientei planului de actiuni</v>
          </cell>
          <cell r="F624" t="str">
            <v>Medir la eficacia del plan de acción</v>
          </cell>
          <cell r="G624" t="str">
            <v>Verificação da eficácia do plano de acções:</v>
          </cell>
          <cell r="H624" t="str">
            <v>A javítóintézkedések hatékonyságának ellenőrzése</v>
          </cell>
          <cell r="I624" t="str">
            <v>Merať účinnosť akčného plánu</v>
          </cell>
          <cell r="J624" t="str">
            <v xml:space="preserve"> </v>
          </cell>
        </row>
        <row r="625">
          <cell r="A625">
            <v>624</v>
          </cell>
          <cell r="B625" t="str">
            <v>Sur une période de production de :</v>
          </cell>
          <cell r="C625" t="str">
            <v>For production period of :</v>
          </cell>
          <cell r="D625" t="str">
            <v>Na określony czas produkcji</v>
          </cell>
          <cell r="E625" t="str">
            <v>Pentru o perioada de productie de:</v>
          </cell>
          <cell r="F625" t="str">
            <v>Sobre un periodo de producción de:</v>
          </cell>
          <cell r="G625" t="str">
            <v>Durante um periodo de tempo de:</v>
          </cell>
          <cell r="H625" t="str">
            <v>Visszaellenőrzés :</v>
          </cell>
          <cell r="I625" t="str">
            <v>v perióde výroby od :</v>
          </cell>
          <cell r="J625" t="str">
            <v xml:space="preserve"> </v>
          </cell>
        </row>
        <row r="626">
          <cell r="A626">
            <v>625</v>
          </cell>
          <cell r="B626" t="str">
            <v>mois, ou sur une quantité de :</v>
          </cell>
          <cell r="C626" t="str">
            <v>months, or for a quantity of :</v>
          </cell>
          <cell r="D626" t="str">
            <v>miesiące, lub na:</v>
          </cell>
          <cell r="E626" t="str">
            <v>luna sau pe o cantitate de:</v>
          </cell>
          <cell r="F626" t="str">
            <v>meses, o por una cantidad de:</v>
          </cell>
          <cell r="G626" t="str">
            <v>Mês; ou sobre uma quantidade de:</v>
          </cell>
          <cell r="H626" t="str">
            <v>hónap múlva, vagy :</v>
          </cell>
          <cell r="I626" t="str">
            <v>mesiac, alebo v množstve z :</v>
          </cell>
          <cell r="J626" t="str">
            <v xml:space="preserve"> </v>
          </cell>
        </row>
        <row r="627">
          <cell r="A627">
            <v>626</v>
          </cell>
          <cell r="B627" t="str">
            <v>Produit</v>
          </cell>
          <cell r="C627" t="str">
            <v>Product name</v>
          </cell>
          <cell r="D627" t="str">
            <v>Produkt</v>
          </cell>
          <cell r="E627" t="str">
            <v>Produs</v>
          </cell>
          <cell r="F627" t="str">
            <v>Producto</v>
          </cell>
          <cell r="G627" t="str">
            <v>Nome do Produto</v>
          </cell>
          <cell r="H627" t="str">
            <v>Termék</v>
          </cell>
          <cell r="I627" t="str">
            <v>Produktu</v>
          </cell>
          <cell r="J627" t="str">
            <v xml:space="preserve"> </v>
          </cell>
        </row>
        <row r="628">
          <cell r="A628">
            <v>627</v>
          </cell>
          <cell r="B628" t="str">
            <v>Autre indicateur retenu :</v>
          </cell>
          <cell r="C628" t="str">
            <v>Other indicators :</v>
          </cell>
          <cell r="D628" t="str">
            <v>Inne wyznaczniki</v>
          </cell>
          <cell r="E628" t="str">
            <v>Alti indicatori retinuti:</v>
          </cell>
          <cell r="F628" t="str">
            <v>Otros indicadores:</v>
          </cell>
          <cell r="G628" t="str">
            <v>Outros dados improtantes a reter:</v>
          </cell>
          <cell r="H628" t="str">
            <v>Egyéb előírás :</v>
          </cell>
          <cell r="I628" t="str">
            <v>iný ukazovateľ</v>
          </cell>
          <cell r="J628" t="str">
            <v xml:space="preserve"> </v>
          </cell>
        </row>
        <row r="629">
          <cell r="A629">
            <v>628</v>
          </cell>
          <cell r="B629" t="str">
            <v>Validation de la solution :</v>
          </cell>
          <cell r="C629" t="str">
            <v>Validation of the solution :</v>
          </cell>
          <cell r="D629" t="str">
            <v>Zatwierdzenie rozwiązania</v>
          </cell>
          <cell r="E629" t="str">
            <v>Validarea solutiei:</v>
          </cell>
          <cell r="F629" t="str">
            <v>Validación de la solución:</v>
          </cell>
          <cell r="G629" t="str">
            <v>Validação da Solução</v>
          </cell>
          <cell r="H629" t="str">
            <v>Az intézkedések megerősítése</v>
          </cell>
          <cell r="I629" t="str">
            <v>overiť riešenie</v>
          </cell>
          <cell r="J629" t="str">
            <v xml:space="preserve"> </v>
          </cell>
        </row>
        <row r="630">
          <cell r="A630">
            <v>629</v>
          </cell>
          <cell r="B630" t="str">
            <v>Après application, cette solution garantit-elle la non récurrence du problème ?</v>
          </cell>
          <cell r="C630" t="str">
            <v xml:space="preserve">Does the application of this solution guarantee non reocurrence of the problem ? </v>
          </cell>
          <cell r="D630" t="str">
            <v>Czy stosowanie tego rozwiązania zagwarantuje to ,że problem nie pojawi się na nowo ?</v>
          </cell>
          <cell r="E630" t="str">
            <v>Dupa aplicare, aceasta solutie va garanta nerecurenta problemei?</v>
          </cell>
          <cell r="F630" t="str">
            <v>La aplicación de esta medida garantica que la no ocurrencia del problema?</v>
          </cell>
          <cell r="G630" t="str">
            <v>Depois de implementada a acção garante a não reocorrência do probléma?</v>
          </cell>
          <cell r="H630" t="str">
            <v>Az intézkedések garantálják, hogy a probléma ne ismétlödhessen meg?</v>
          </cell>
          <cell r="I630" t="str">
            <v>po aplikácii, garantuje toto riešenie neopakovanie sa problému ?</v>
          </cell>
          <cell r="J630" t="str">
            <v xml:space="preserve"> </v>
          </cell>
        </row>
        <row r="631">
          <cell r="A631">
            <v>630</v>
          </cell>
          <cell r="B631" t="str">
            <v>AMELIORATION / STANDARDISATION : (Actions Préventives)</v>
          </cell>
          <cell r="C631" t="str">
            <v>ACT / STANDARDIZING : (Preventive actions)</v>
          </cell>
          <cell r="D631" t="str">
            <v>POPRAWA / STANDARYZACJA : ( działania prewencyjne )</v>
          </cell>
          <cell r="E631" t="str">
            <v>AMELIORAREA / STANDARDIZAREA : (Actiuni Preventive)</v>
          </cell>
          <cell r="F631" t="str">
            <v>MEJORA / NORMALIZACIÓN : (Acciones preventivas)</v>
          </cell>
          <cell r="G631" t="str">
            <v>MELHORIA / STANDARDIZAÇÃO : ( Acções Preventivas)</v>
          </cell>
          <cell r="H631" t="str">
            <v>BEVEZETÉS / VÉGLEGESÍTÉS : (Megelöző intézkedések)</v>
          </cell>
          <cell r="I631" t="str">
            <v>VYLEPŠENIE / ŠTANDARDIZÁCIA : ( preventívna akcia )</v>
          </cell>
          <cell r="J631" t="str">
            <v xml:space="preserve"> </v>
          </cell>
        </row>
        <row r="632">
          <cell r="A632">
            <v>631</v>
          </cell>
          <cell r="B632" t="str">
            <v>Incidence sur :</v>
          </cell>
          <cell r="C632" t="str">
            <v>Incidence on :</v>
          </cell>
          <cell r="D632" t="str">
            <v>Wpływ na :</v>
          </cell>
          <cell r="E632" t="str">
            <v>Incidenta pe:</v>
          </cell>
          <cell r="F632" t="str">
            <v>Incidencia sobre:</v>
          </cell>
          <cell r="G632" t="str">
            <v>Incidencia em:</v>
          </cell>
          <cell r="H632" t="str">
            <v>Fellelhetőség :</v>
          </cell>
          <cell r="I632" t="str">
            <v>nezhoda na :</v>
          </cell>
          <cell r="J632" t="str">
            <v xml:space="preserve"> </v>
          </cell>
        </row>
        <row r="633">
          <cell r="A633">
            <v>632</v>
          </cell>
          <cell r="B633" t="str">
            <v>Généralisation à d'autres produits ou process :</v>
          </cell>
          <cell r="C633" t="str">
            <v>Generalization on other products or process :</v>
          </cell>
          <cell r="D633" t="str">
            <v xml:space="preserve"> Uogólnienie na inne produkty lub procesy</v>
          </cell>
          <cell r="E633" t="str">
            <v>Generalizarea la alte produse sau procese:</v>
          </cell>
          <cell r="F633" t="str">
            <v>Generalización a otros productos o procesos</v>
          </cell>
          <cell r="G633" t="str">
            <v>Extender a acção  outros produtos ou processos:</v>
          </cell>
          <cell r="H633" t="str">
            <v>Általánosítható más folyamatra vagy termékre</v>
          </cell>
          <cell r="I633" t="str">
            <v>zovšeobecnenie iných produktov alebo procesov :</v>
          </cell>
          <cell r="J633" t="str">
            <v xml:space="preserve"> </v>
          </cell>
        </row>
        <row r="634">
          <cell r="A634">
            <v>633</v>
          </cell>
          <cell r="B634" t="str">
            <v>Clôture de la fiche le :</v>
          </cell>
          <cell r="C634" t="str">
            <v xml:space="preserve">Form closed the : </v>
          </cell>
          <cell r="D634" t="str">
            <v>Zamknięcie formularza :</v>
          </cell>
          <cell r="E634" t="str">
            <v>Inchiderea fisei:</v>
          </cell>
          <cell r="F634" t="str">
            <v>Cierre de la ficha el:</v>
          </cell>
          <cell r="G634" t="str">
            <v>Data de Fecho:</v>
          </cell>
          <cell r="H634" t="str">
            <v xml:space="preserve">Dokumentum lezárva </v>
          </cell>
          <cell r="I634" t="str">
            <v>uzavretie záznamu dňa :</v>
          </cell>
          <cell r="J634" t="str">
            <v xml:space="preserve"> </v>
          </cell>
        </row>
        <row r="635">
          <cell r="A635">
            <v>634</v>
          </cell>
          <cell r="B635" t="str">
            <v>Voir fiche</v>
          </cell>
          <cell r="C635" t="str">
            <v>See form</v>
          </cell>
          <cell r="D635" t="str">
            <v>Patrz formularza</v>
          </cell>
          <cell r="E635" t="str">
            <v>Vedeti fisei</v>
          </cell>
          <cell r="F635" t="str">
            <v>Ver ficha</v>
          </cell>
          <cell r="G635" t="str">
            <v>Ver fecho</v>
          </cell>
          <cell r="H635" t="str">
            <v xml:space="preserve">Lásd lezárva </v>
          </cell>
          <cell r="I635" t="str">
            <v>Pozri záznam</v>
          </cell>
          <cell r="J635" t="str">
            <v xml:space="preserve"> </v>
          </cell>
        </row>
        <row r="636">
          <cell r="A636">
            <v>635</v>
          </cell>
          <cell r="B636" t="str">
            <v>Ouvert</v>
          </cell>
          <cell r="C636" t="str">
            <v>Open</v>
          </cell>
          <cell r="D636" t="str">
            <v>otwarty</v>
          </cell>
          <cell r="E636" t="str">
            <v>deschis</v>
          </cell>
          <cell r="F636" t="str">
            <v>abierto</v>
          </cell>
          <cell r="G636" t="str">
            <v>aberto</v>
          </cell>
          <cell r="I636" t="str">
            <v>otvoriť</v>
          </cell>
          <cell r="J636" t="str">
            <v xml:space="preserve"> </v>
          </cell>
        </row>
        <row r="637">
          <cell r="A637">
            <v>636</v>
          </cell>
          <cell r="B637" t="str">
            <v>libre</v>
          </cell>
          <cell r="C637" t="str">
            <v>Free</v>
          </cell>
          <cell r="D637" t="str">
            <v>wolny</v>
          </cell>
          <cell r="E637" t="str">
            <v>liber</v>
          </cell>
          <cell r="F637" t="str">
            <v>libre</v>
          </cell>
          <cell r="G637" t="str">
            <v>livre</v>
          </cell>
          <cell r="I637" t="str">
            <v>voný</v>
          </cell>
          <cell r="J637" t="str">
            <v xml:space="preserve"> </v>
          </cell>
        </row>
        <row r="638">
          <cell r="A638">
            <v>637</v>
          </cell>
          <cell r="B638" t="str">
            <v>torpille</v>
          </cell>
          <cell r="C638" t="str">
            <v>torpedo</v>
          </cell>
          <cell r="D638" t="str">
            <v>torpedo</v>
          </cell>
          <cell r="E638" t="str">
            <v>torpila (varf ,clapeta si inel)</v>
          </cell>
          <cell r="F638" t="str">
            <v>aguja</v>
          </cell>
          <cell r="G638" t="str">
            <v>torpedo</v>
          </cell>
          <cell r="I638" t="str">
            <v>torpédo</v>
          </cell>
          <cell r="J638" t="str">
            <v xml:space="preserve"> </v>
          </cell>
        </row>
        <row r="639">
          <cell r="A639">
            <v>638</v>
          </cell>
          <cell r="B639" t="str">
            <v>Obturation</v>
          </cell>
          <cell r="C639" t="str">
            <v>Sealing</v>
          </cell>
          <cell r="D639" t="str">
            <v>uszczelnienie</v>
          </cell>
          <cell r="E639" t="str">
            <v>obturat</v>
          </cell>
          <cell r="F639" t="str">
            <v>obturador</v>
          </cell>
          <cell r="G639" t="str">
            <v>obturador</v>
          </cell>
          <cell r="H639" t="str">
            <v>szelepzárás</v>
          </cell>
          <cell r="I639" t="str">
            <v>tesnenie</v>
          </cell>
          <cell r="J639" t="str">
            <v xml:space="preserve"> </v>
          </cell>
        </row>
        <row r="640">
          <cell r="A640">
            <v>639</v>
          </cell>
          <cell r="J640" t="str">
            <v xml:space="preserve"> </v>
          </cell>
        </row>
        <row r="641">
          <cell r="A641">
            <v>640</v>
          </cell>
          <cell r="B641" t="str">
            <v>Polyvalence peinture</v>
          </cell>
          <cell r="C641" t="str">
            <v>Painting versatility</v>
          </cell>
          <cell r="D641" t="str">
            <v>Wszechstronność malowania</v>
          </cell>
          <cell r="E641" t="str">
            <v>Polyvalenta de vopsitor</v>
          </cell>
          <cell r="F641" t="str">
            <v>Polivalencia pintura</v>
          </cell>
          <cell r="G641" t="str">
            <v>Polivalencia Pintura</v>
          </cell>
          <cell r="H641" t="str">
            <v>Festõ versatility</v>
          </cell>
          <cell r="I641" t="str">
            <v>polyvalencia farbenia</v>
          </cell>
          <cell r="J641" t="str">
            <v xml:space="preserve"> </v>
          </cell>
        </row>
        <row r="642">
          <cell r="A642">
            <v>641</v>
          </cell>
          <cell r="B642" t="str">
            <v>N° ligne</v>
          </cell>
          <cell r="C642" t="str">
            <v>Line nb</v>
          </cell>
          <cell r="D642" t="str">
            <v>Numer linii</v>
          </cell>
          <cell r="E642" t="str">
            <v>nr. liniei:</v>
          </cell>
          <cell r="F642" t="str">
            <v>N° Línea</v>
          </cell>
          <cell r="G642" t="str">
            <v>Linha de Pintura Nº.</v>
          </cell>
          <cell r="H642" t="str">
            <v>Sor n°</v>
          </cell>
          <cell r="I642" t="str">
            <v>Číslo linky</v>
          </cell>
          <cell r="J642" t="str">
            <v xml:space="preserve"> </v>
          </cell>
        </row>
        <row r="643">
          <cell r="A643">
            <v>642</v>
          </cell>
          <cell r="B643" t="str">
            <v>Déjà utilisé</v>
          </cell>
          <cell r="C643" t="str">
            <v>Already used</v>
          </cell>
          <cell r="D643" t="str">
            <v>Już użyty</v>
          </cell>
          <cell r="E643" t="str">
            <v>deja folosit</v>
          </cell>
          <cell r="F643" t="str">
            <v>Ya utilizado</v>
          </cell>
          <cell r="G643" t="str">
            <v>Já utilizada</v>
          </cell>
          <cell r="H643" t="str">
            <v xml:space="preserve"> --&gt; hungarian ?</v>
          </cell>
          <cell r="I643" t="str">
            <v>už použité</v>
          </cell>
          <cell r="J643" t="str">
            <v xml:space="preserve"> </v>
          </cell>
        </row>
        <row r="644">
          <cell r="A644">
            <v>643</v>
          </cell>
          <cell r="J644" t="str">
            <v xml:space="preserve"> </v>
          </cell>
        </row>
        <row r="645">
          <cell r="A645">
            <v>644</v>
          </cell>
          <cell r="J645" t="str">
            <v xml:space="preserve"> </v>
          </cell>
        </row>
        <row r="646">
          <cell r="A646">
            <v>645</v>
          </cell>
          <cell r="B646" t="str">
            <v>Polyvalence sérigraphie</v>
          </cell>
          <cell r="C646" t="str">
            <v>Screen printing versatility</v>
          </cell>
          <cell r="D646" t="str">
            <v>Wszechstronność sitodruk</v>
          </cell>
          <cell r="E646" t="str">
            <v>Polivalenta de serigrafie</v>
          </cell>
          <cell r="F646" t="str">
            <v>Polivalencia serigrafia</v>
          </cell>
          <cell r="G646" t="str">
            <v>Polivalencia Serigrafia</v>
          </cell>
          <cell r="H646" t="str">
            <v xml:space="preserve"> --&gt; hungarian ?</v>
          </cell>
          <cell r="I646" t="str">
            <v>polyvalencia serigrafie</v>
          </cell>
          <cell r="J646" t="str">
            <v xml:space="preserve"> </v>
          </cell>
        </row>
        <row r="647">
          <cell r="A647">
            <v>646</v>
          </cell>
          <cell r="J647" t="str">
            <v xml:space="preserve"> </v>
          </cell>
        </row>
        <row r="648">
          <cell r="A648">
            <v>647</v>
          </cell>
          <cell r="J648" t="str">
            <v xml:space="preserve"> </v>
          </cell>
        </row>
        <row r="649">
          <cell r="A649">
            <v>648</v>
          </cell>
          <cell r="J649" t="str">
            <v xml:space="preserve"> </v>
          </cell>
        </row>
        <row r="650">
          <cell r="A650">
            <v>649</v>
          </cell>
          <cell r="J650" t="str">
            <v xml:space="preserve"> </v>
          </cell>
        </row>
        <row r="651">
          <cell r="A651">
            <v>650</v>
          </cell>
          <cell r="B651" t="str">
            <v>Polyvalence Marquage à chaud</v>
          </cell>
          <cell r="C651" t="str">
            <v>Hot stamping versatility</v>
          </cell>
          <cell r="D651" t="str">
            <v>Wszechstronność drukowanie na gorąco</v>
          </cell>
          <cell r="E651" t="str">
            <v>Polivalenta de marcaj la cald</v>
          </cell>
          <cell r="F651" t="str">
            <v>Polivalencia marcado en caliente</v>
          </cell>
          <cell r="G651" t="str">
            <v>Polivalencia Hot Stamping</v>
          </cell>
          <cell r="H651" t="str">
            <v xml:space="preserve"> --&gt; hungarian ?</v>
          </cell>
          <cell r="I651" t="str">
            <v>polyvalencia horúcej potlače</v>
          </cell>
          <cell r="J651" t="str">
            <v xml:space="preserve"> </v>
          </cell>
        </row>
        <row r="652">
          <cell r="A652">
            <v>651</v>
          </cell>
          <cell r="J652" t="str">
            <v xml:space="preserve"> </v>
          </cell>
        </row>
        <row r="653">
          <cell r="A653">
            <v>652</v>
          </cell>
          <cell r="J653" t="str">
            <v xml:space="preserve"> </v>
          </cell>
        </row>
        <row r="654">
          <cell r="A654">
            <v>653</v>
          </cell>
          <cell r="J654" t="str">
            <v xml:space="preserve"> </v>
          </cell>
        </row>
        <row r="655">
          <cell r="A655">
            <v>654</v>
          </cell>
          <cell r="J655" t="str">
            <v xml:space="preserve"> </v>
          </cell>
        </row>
        <row r="656">
          <cell r="A656">
            <v>655</v>
          </cell>
          <cell r="B656" t="str">
            <v>Polyvalence Tampographie</v>
          </cell>
          <cell r="C656" t="str">
            <v>Pad printing versatility</v>
          </cell>
          <cell r="D656" t="str">
            <v>Wszechstronność tampondruk</v>
          </cell>
          <cell r="E656" t="str">
            <v>Polyvalenta de tampografie</v>
          </cell>
          <cell r="F656" t="str">
            <v>Polivalencia tampografia</v>
          </cell>
          <cell r="G656" t="str">
            <v>Polivalencia Tampografia</v>
          </cell>
          <cell r="H656" t="str">
            <v xml:space="preserve"> --&gt; hungarian ?</v>
          </cell>
          <cell r="I656" t="str">
            <v>polyvalencia tampografie</v>
          </cell>
          <cell r="J656" t="str">
            <v xml:space="preserve"> </v>
          </cell>
        </row>
        <row r="657">
          <cell r="A657">
            <v>656</v>
          </cell>
          <cell r="J657" t="str">
            <v xml:space="preserve"> </v>
          </cell>
        </row>
        <row r="658">
          <cell r="A658">
            <v>657</v>
          </cell>
          <cell r="J658" t="str">
            <v xml:space="preserve"> </v>
          </cell>
        </row>
        <row r="659">
          <cell r="A659">
            <v>658</v>
          </cell>
          <cell r="J659" t="str">
            <v xml:space="preserve"> </v>
          </cell>
        </row>
        <row r="660">
          <cell r="A660">
            <v>659</v>
          </cell>
          <cell r="J660" t="str">
            <v xml:space="preserve"> </v>
          </cell>
        </row>
        <row r="661">
          <cell r="A661">
            <v>660</v>
          </cell>
          <cell r="B661" t="str">
            <v>Polyvalence Ultrasons</v>
          </cell>
          <cell r="C661" t="str">
            <v>Ultrasonic versatility</v>
          </cell>
          <cell r="D661" t="str">
            <v>Wszechstronność ultradźwiękow</v>
          </cell>
          <cell r="E661" t="str">
            <v>Polyvalenta de ultrasonic</v>
          </cell>
          <cell r="F661" t="str">
            <v>Polivalencia ultrasonidos</v>
          </cell>
          <cell r="G661" t="str">
            <v>Polivalencia soldadura -Ultrasons.</v>
          </cell>
          <cell r="H661" t="str">
            <v xml:space="preserve"> --&gt; hungarian ?</v>
          </cell>
          <cell r="I661" t="str">
            <v>polyvalencia ultrasonografie</v>
          </cell>
          <cell r="J661" t="str">
            <v xml:space="preserve"> </v>
          </cell>
        </row>
        <row r="662">
          <cell r="A662">
            <v>661</v>
          </cell>
          <cell r="J662" t="str">
            <v xml:space="preserve"> </v>
          </cell>
        </row>
        <row r="663">
          <cell r="A663">
            <v>662</v>
          </cell>
          <cell r="J663" t="str">
            <v xml:space="preserve"> </v>
          </cell>
        </row>
        <row r="664">
          <cell r="A664">
            <v>663</v>
          </cell>
          <cell r="J664" t="str">
            <v xml:space="preserve"> </v>
          </cell>
        </row>
        <row r="665">
          <cell r="A665">
            <v>664</v>
          </cell>
          <cell r="J665" t="str">
            <v xml:space="preserve"> </v>
          </cell>
        </row>
        <row r="666">
          <cell r="A666">
            <v>665</v>
          </cell>
          <cell r="B666" t="str">
            <v>Polyvalence Assemblage</v>
          </cell>
          <cell r="C666" t="str">
            <v>Assembly versatility</v>
          </cell>
          <cell r="D666" t="str">
            <v>Wszechstronność montażu</v>
          </cell>
          <cell r="E666" t="str">
            <v>Polyvalenta de asamblare</v>
          </cell>
          <cell r="F666" t="str">
            <v>Polivalencia ensamblaje</v>
          </cell>
          <cell r="G666" t="str">
            <v>Polivalencia Montagem</v>
          </cell>
          <cell r="H666" t="str">
            <v>Szerelõ versatility</v>
          </cell>
          <cell r="I666" t="str">
            <v>polyvalencia montáže</v>
          </cell>
          <cell r="J666" t="str">
            <v xml:space="preserve"> </v>
          </cell>
        </row>
        <row r="667">
          <cell r="A667">
            <v>666</v>
          </cell>
          <cell r="J667" t="str">
            <v xml:space="preserve"> </v>
          </cell>
        </row>
        <row r="668">
          <cell r="A668">
            <v>667</v>
          </cell>
          <cell r="J668" t="str">
            <v xml:space="preserve"> </v>
          </cell>
        </row>
        <row r="669">
          <cell r="A669">
            <v>668</v>
          </cell>
          <cell r="J669" t="str">
            <v xml:space="preserve"> </v>
          </cell>
        </row>
        <row r="670">
          <cell r="A670">
            <v>669</v>
          </cell>
          <cell r="J670" t="str">
            <v xml:space="preserve"> </v>
          </cell>
        </row>
        <row r="671">
          <cell r="A671">
            <v>670</v>
          </cell>
          <cell r="J671" t="str">
            <v xml:space="preserve"> </v>
          </cell>
        </row>
        <row r="672">
          <cell r="A672">
            <v>671</v>
          </cell>
          <cell r="J672" t="str">
            <v xml:space="preserve"> </v>
          </cell>
        </row>
        <row r="673">
          <cell r="A673">
            <v>672</v>
          </cell>
          <cell r="J673" t="str">
            <v xml:space="preserve"> </v>
          </cell>
        </row>
        <row r="674">
          <cell r="A674">
            <v>673</v>
          </cell>
          <cell r="J674" t="str">
            <v xml:space="preserve"> </v>
          </cell>
        </row>
        <row r="675">
          <cell r="A675">
            <v>674</v>
          </cell>
          <cell r="J675" t="str">
            <v xml:space="preserve"> </v>
          </cell>
        </row>
        <row r="676">
          <cell r="A676">
            <v>675</v>
          </cell>
          <cell r="J676" t="str">
            <v xml:space="preserve"> </v>
          </cell>
        </row>
        <row r="677">
          <cell r="A677">
            <v>676</v>
          </cell>
          <cell r="J677" t="str">
            <v xml:space="preserve"> </v>
          </cell>
        </row>
        <row r="678">
          <cell r="A678">
            <v>677</v>
          </cell>
          <cell r="J678" t="str">
            <v xml:space="preserve"> </v>
          </cell>
        </row>
        <row r="679">
          <cell r="A679">
            <v>678</v>
          </cell>
          <cell r="J679" t="str">
            <v xml:space="preserve"> </v>
          </cell>
        </row>
        <row r="680">
          <cell r="A680">
            <v>679</v>
          </cell>
          <cell r="J680" t="str">
            <v xml:space="preserve"> </v>
          </cell>
        </row>
        <row r="681">
          <cell r="A681">
            <v>680</v>
          </cell>
          <cell r="B681" t="str">
            <v>Valeur maxi</v>
          </cell>
          <cell r="C681" t="str">
            <v>Maxi value</v>
          </cell>
          <cell r="D681" t="str">
            <v>Max wartości</v>
          </cell>
          <cell r="E681" t="str">
            <v>Valoare max</v>
          </cell>
          <cell r="F681" t="str">
            <v>Valor max</v>
          </cell>
          <cell r="G681" t="str">
            <v>Valor máximo</v>
          </cell>
          <cell r="H681" t="str">
            <v xml:space="preserve"> --&gt; hungarian ?</v>
          </cell>
          <cell r="I681" t="str">
            <v>Maxi hodnota</v>
          </cell>
          <cell r="J681" t="str">
            <v xml:space="preserve"> </v>
          </cell>
        </row>
        <row r="682">
          <cell r="A682">
            <v>681</v>
          </cell>
          <cell r="B682" t="str">
            <v>Valeur mini</v>
          </cell>
          <cell r="C682" t="str">
            <v>Mini value</v>
          </cell>
          <cell r="D682" t="str">
            <v>Min wartości</v>
          </cell>
          <cell r="E682" t="str">
            <v>Valoare min</v>
          </cell>
          <cell r="F682" t="str">
            <v>Valor min</v>
          </cell>
          <cell r="G682" t="str">
            <v>Valor minimo</v>
          </cell>
          <cell r="H682" t="str">
            <v xml:space="preserve"> --&gt; hungarian ?</v>
          </cell>
          <cell r="I682" t="str">
            <v>Mini hodnota</v>
          </cell>
          <cell r="J682" t="str">
            <v xml:space="preserve"> </v>
          </cell>
        </row>
        <row r="683">
          <cell r="A683">
            <v>682</v>
          </cell>
          <cell r="B683" t="str">
            <v>Type moyen ou n°</v>
          </cell>
          <cell r="C683" t="str">
            <v>Mean type or nber</v>
          </cell>
          <cell r="D683" t="str">
            <v>Typ lub nr narzędzia</v>
          </cell>
          <cell r="E683" t="str">
            <v>Media tip a nr.</v>
          </cell>
          <cell r="F683" t="str">
            <v>Tipo de medio o nº</v>
          </cell>
          <cell r="G683" t="str">
            <v>Typo de Meio o Nº.</v>
          </cell>
          <cell r="H683" t="str">
            <v xml:space="preserve"> --&gt; hungarian ?</v>
          </cell>
          <cell r="I683" t="str">
            <v>typ prostriedku alebo číslo</v>
          </cell>
          <cell r="J683" t="str">
            <v xml:space="preserve"> </v>
          </cell>
        </row>
        <row r="684">
          <cell r="A684">
            <v>683</v>
          </cell>
          <cell r="B684" t="str">
            <v>Point de contrôle</v>
          </cell>
          <cell r="C684" t="str">
            <v>Control point</v>
          </cell>
          <cell r="D684" t="str">
            <v>Punkt kontrolny</v>
          </cell>
          <cell r="E684" t="str">
            <v>Punct de control</v>
          </cell>
          <cell r="F684" t="str">
            <v>Punto de control</v>
          </cell>
          <cell r="G684" t="str">
            <v>ponto de Controlo</v>
          </cell>
          <cell r="H684" t="str">
            <v xml:space="preserve"> --&gt; hungarian ?</v>
          </cell>
          <cell r="I684" t="str">
            <v>bod kontroly</v>
          </cell>
          <cell r="J684" t="str">
            <v xml:space="preserve"> </v>
          </cell>
        </row>
        <row r="685">
          <cell r="A685">
            <v>684</v>
          </cell>
          <cell r="B685" t="str">
            <v>Logo ESD : à mettre sur toutes les pages où les procédures ESD sont imposées (talonnettes ESD, mesure ESD, …)</v>
          </cell>
          <cell r="C685" t="str">
            <v>ESD logo : to put in all pages when ESD procedures are required (ESD equipmements, ESD measures, ...)</v>
          </cell>
          <cell r="D685" t="str">
            <v>Logo ESD : powinno być na każdej stronie gdzie wymagana jest procedura ESD</v>
          </cell>
          <cell r="E685" t="str">
            <v>Sigla ESD: sa fie puse in toate paginile cand procedura ESD o cere(echipamente ESD, masuratori ESD….)</v>
          </cell>
          <cell r="F685" t="str">
            <v>Logo ESD: a poner en todas las paginas dónde el procedimiento ESD son requeridos (ESD equipos, ESD medidas,…)</v>
          </cell>
          <cell r="G685" t="str">
            <v>Logotipo ESD: a colocar em todas as paginas onde os procedimentos ESD são impostos (equipamento ESD, medições ESD, …)</v>
          </cell>
          <cell r="H685" t="str">
            <v>Sorry, Hungarian translation is under construction</v>
          </cell>
          <cell r="I685" t="str">
            <v>logo ESD : vložiť na všetky stránok alebo procedúry, kde je ESD vyžadované ( vybavenie ESD, meranie ESD ... )</v>
          </cell>
          <cell r="J685" t="str">
            <v xml:space="preserve"> </v>
          </cell>
        </row>
        <row r="686">
          <cell r="A686">
            <v>685</v>
          </cell>
          <cell r="J686" t="str">
            <v xml:space="preserve"> </v>
          </cell>
        </row>
        <row r="687">
          <cell r="A687">
            <v>686</v>
          </cell>
          <cell r="J687" t="str">
            <v xml:space="preserve"> </v>
          </cell>
        </row>
        <row r="688">
          <cell r="A688">
            <v>687</v>
          </cell>
          <cell r="J688" t="str">
            <v xml:space="preserve"> </v>
          </cell>
        </row>
        <row r="689">
          <cell r="A689">
            <v>688</v>
          </cell>
          <cell r="J689" t="str">
            <v xml:space="preserve"> </v>
          </cell>
        </row>
        <row r="690">
          <cell r="A690">
            <v>689</v>
          </cell>
          <cell r="J690" t="str">
            <v xml:space="preserve"> </v>
          </cell>
        </row>
        <row r="691">
          <cell r="A691">
            <v>690</v>
          </cell>
          <cell r="B691" t="str">
            <v>Fiche de réglage (type) PEINTURE</v>
          </cell>
          <cell r="C691" t="str">
            <v>Adjustment sheet (Type) PAINTING</v>
          </cell>
          <cell r="D691" t="str">
            <v xml:space="preserve">KARTA NASTAW PARAMETRÓW MALOWANIA (Ogólna) </v>
          </cell>
          <cell r="E691" t="str">
            <v>FISA DE REGLARE (Tip) VOPSITORIE</v>
          </cell>
          <cell r="F691" t="str">
            <v>FICHA DE AJUSTE (Tipo) DE PINTURA</v>
          </cell>
          <cell r="G691" t="str">
            <v>Ficha Tecnica de PINTURA</v>
          </cell>
          <cell r="H691" t="str">
            <v>TECHNOLÓGIAI LAP (típusonként) : FESTÕ</v>
          </cell>
          <cell r="I691" t="str">
            <v>nastavenie ( typ ) farbenie</v>
          </cell>
          <cell r="J691" t="str">
            <v xml:space="preserve"> </v>
          </cell>
        </row>
        <row r="692">
          <cell r="A692">
            <v>691</v>
          </cell>
          <cell r="B692" t="str">
            <v xml:space="preserve">PEINTURE   </v>
          </cell>
          <cell r="C692" t="str">
            <v>PAINT</v>
          </cell>
          <cell r="D692" t="str">
            <v>Farba</v>
          </cell>
          <cell r="E692" t="str">
            <v>VOPSERA</v>
          </cell>
          <cell r="F692" t="str">
            <v>PINTURA</v>
          </cell>
          <cell r="G692" t="str">
            <v>PINTURA</v>
          </cell>
          <cell r="H692" t="str">
            <v>FESTÉK</v>
          </cell>
          <cell r="I692" t="str">
            <v>FARBENIE</v>
          </cell>
          <cell r="J692" t="str">
            <v xml:space="preserve"> </v>
          </cell>
        </row>
        <row r="693">
          <cell r="A693">
            <v>692</v>
          </cell>
          <cell r="B693" t="str">
            <v>Diluant</v>
          </cell>
          <cell r="C693" t="str">
            <v>Thinner</v>
          </cell>
          <cell r="D693" t="str">
            <v>Rozcieńczalnik</v>
          </cell>
          <cell r="E693" t="str">
            <v>Grosime</v>
          </cell>
          <cell r="F693" t="str">
            <v>Diluyente</v>
          </cell>
          <cell r="G693" t="str">
            <v>Diluente</v>
          </cell>
          <cell r="H693" t="str">
            <v>Hígító</v>
          </cell>
          <cell r="I693" t="str">
            <v>riedidlo</v>
          </cell>
          <cell r="J693" t="str">
            <v xml:space="preserve"> </v>
          </cell>
        </row>
        <row r="694">
          <cell r="A694">
            <v>693</v>
          </cell>
          <cell r="B694" t="str">
            <v>Durcisseur</v>
          </cell>
          <cell r="C694" t="str">
            <v>Curing agent</v>
          </cell>
          <cell r="D694" t="str">
            <v>Utwardzacz</v>
          </cell>
          <cell r="E694" t="str">
            <v>Intaritor</v>
          </cell>
          <cell r="F694" t="str">
            <v>Endurecedor</v>
          </cell>
          <cell r="G694" t="str">
            <v>Endurecedor</v>
          </cell>
          <cell r="H694" t="str">
            <v xml:space="preserve"> --&gt; hungarian ?</v>
          </cell>
          <cell r="I694" t="str">
            <v>tvrdidlo</v>
          </cell>
          <cell r="J694" t="str">
            <v xml:space="preserve"> </v>
          </cell>
        </row>
        <row r="695">
          <cell r="A695">
            <v>694</v>
          </cell>
          <cell r="B695" t="str">
            <v>Accélérateur</v>
          </cell>
          <cell r="C695" t="str">
            <v>Accelerator</v>
          </cell>
          <cell r="D695" t="str">
            <v>Subst. przyśpieszająca</v>
          </cell>
          <cell r="E695" t="str">
            <v>Accelerator</v>
          </cell>
          <cell r="F695" t="str">
            <v>Acelerador</v>
          </cell>
          <cell r="G695" t="str">
            <v>Acelarador</v>
          </cell>
          <cell r="H695" t="str">
            <v xml:space="preserve"> --&gt; hungarian ?</v>
          </cell>
          <cell r="I695" t="str">
            <v>urýchľovač</v>
          </cell>
          <cell r="J695" t="str">
            <v xml:space="preserve"> </v>
          </cell>
        </row>
        <row r="696">
          <cell r="A696">
            <v>695</v>
          </cell>
          <cell r="B696" t="str">
            <v>Additif</v>
          </cell>
          <cell r="C696" t="str">
            <v>Additive</v>
          </cell>
          <cell r="D696" t="str">
            <v>Dodatek</v>
          </cell>
          <cell r="E696" t="str">
            <v>Aditiv</v>
          </cell>
          <cell r="F696" t="str">
            <v>Aditivo</v>
          </cell>
          <cell r="G696" t="str">
            <v>Aditivo</v>
          </cell>
          <cell r="H696" t="str">
            <v>Adalékanyag</v>
          </cell>
          <cell r="I696" t="str">
            <v>aditívum</v>
          </cell>
          <cell r="J696" t="str">
            <v xml:space="preserve"> </v>
          </cell>
        </row>
        <row r="697">
          <cell r="A697">
            <v>696</v>
          </cell>
          <cell r="B697" t="str">
            <v xml:space="preserve">N° DE PROGRAMME   </v>
          </cell>
          <cell r="C697" t="str">
            <v>PROGRAM Nb</v>
          </cell>
          <cell r="D697" t="str">
            <v>Numer programu</v>
          </cell>
          <cell r="E697" t="str">
            <v>nr. Program</v>
          </cell>
          <cell r="F697" t="str">
            <v>N° PROGRAMA</v>
          </cell>
          <cell r="G697" t="str">
            <v>PROGRAMA Nº.</v>
          </cell>
          <cell r="H697" t="str">
            <v>Program szám :</v>
          </cell>
          <cell r="I697" t="str">
            <v>Č PROGRAMU</v>
          </cell>
          <cell r="J697" t="str">
            <v xml:space="preserve"> </v>
          </cell>
        </row>
        <row r="698">
          <cell r="A698">
            <v>697</v>
          </cell>
          <cell r="B698" t="str">
            <v>Convoyeur</v>
          </cell>
          <cell r="C698" t="str">
            <v>Conveyor</v>
          </cell>
          <cell r="D698" t="str">
            <v>Taśmociąg</v>
          </cell>
          <cell r="E698" t="str">
            <v>CONVEIOR</v>
          </cell>
          <cell r="F698" t="str">
            <v>Transportador</v>
          </cell>
          <cell r="G698" t="str">
            <v>Tapete</v>
          </cell>
          <cell r="H698" t="str">
            <v>Szalag</v>
          </cell>
          <cell r="I698" t="str">
            <v>Dopravnik</v>
          </cell>
          <cell r="J698" t="str">
            <v xml:space="preserve"> </v>
          </cell>
        </row>
        <row r="699">
          <cell r="A699">
            <v>698</v>
          </cell>
          <cell r="B699" t="str">
            <v>Vitesse convoyeur</v>
          </cell>
          <cell r="C699" t="str">
            <v>Conveyor speed</v>
          </cell>
          <cell r="D699" t="str">
            <v>Prędkość taśmociąg</v>
          </cell>
          <cell r="E699" t="str">
            <v>Viteza de conveior</v>
          </cell>
          <cell r="F699" t="str">
            <v>Velocidad transportador</v>
          </cell>
          <cell r="G699" t="str">
            <v>Velocidade do tapete</v>
          </cell>
          <cell r="H699" t="str">
            <v>Szalag sebesség</v>
          </cell>
          <cell r="I699" t="str">
            <v>rýchlosť pása</v>
          </cell>
          <cell r="J699" t="str">
            <v xml:space="preserve"> </v>
          </cell>
        </row>
        <row r="700">
          <cell r="A700">
            <v>699</v>
          </cell>
          <cell r="B700" t="str">
            <v xml:space="preserve">Consigne T°C FOUR    </v>
          </cell>
          <cell r="C700" t="str">
            <v>OVEN T°C Setting</v>
          </cell>
          <cell r="D700" t="str">
            <v>Ustaw. Temp Pieca</v>
          </cell>
          <cell r="E700" t="str">
            <v>Setare temperatura CUPTOR</v>
          </cell>
          <cell r="F700" t="str">
            <v>T°C Horno (estufa)</v>
          </cell>
          <cell r="G700" t="str">
            <v>Temperatura da ESTUFA</v>
          </cell>
          <cell r="H700" t="str">
            <v>Hõmérséklet paraméter</v>
          </cell>
          <cell r="I700" t="str">
            <v>nariadenie T°C pece</v>
          </cell>
          <cell r="J700" t="str">
            <v xml:space="preserve"> </v>
          </cell>
        </row>
        <row r="701">
          <cell r="A701">
            <v>700</v>
          </cell>
          <cell r="J701" t="str">
            <v xml:space="preserve"> </v>
          </cell>
        </row>
        <row r="702">
          <cell r="A702">
            <v>701</v>
          </cell>
          <cell r="B702" t="str">
            <v xml:space="preserve">Diam. Pointeau / Buse  </v>
          </cell>
          <cell r="C702" t="str">
            <v>Diam. Needle valve / nozzle</v>
          </cell>
          <cell r="D702" t="str">
            <v>Średnica zaworu igłowego / dyszy</v>
          </cell>
          <cell r="E702" t="str">
            <v>Diametrul duze</v>
          </cell>
          <cell r="F702" t="str">
            <v>DIAM. Punta/tobera</v>
          </cell>
          <cell r="G702" t="str">
            <v>Diametro da Pistola</v>
          </cell>
          <cell r="H702" t="str">
            <v>Tũátmérõ</v>
          </cell>
          <cell r="I702" t="str">
            <v>Priemer piestu / trysky</v>
          </cell>
          <cell r="J702" t="str">
            <v xml:space="preserve"> </v>
          </cell>
        </row>
        <row r="703">
          <cell r="A703">
            <v>702</v>
          </cell>
          <cell r="B703" t="str">
            <v>Type de Pistolet</v>
          </cell>
          <cell r="C703" t="str">
            <v>Spray gun type</v>
          </cell>
          <cell r="D703" t="str">
            <v>Typ pistoletu</v>
          </cell>
          <cell r="E703" t="str">
            <v>Tip pistol de vopsire</v>
          </cell>
          <cell r="F703" t="str">
            <v>Tipo de pistola</v>
          </cell>
          <cell r="G703" t="str">
            <v>Tipo de pistola</v>
          </cell>
          <cell r="H703" t="str">
            <v>Festó pistoly típusa</v>
          </cell>
          <cell r="I703" t="str">
            <v>typ pištole</v>
          </cell>
          <cell r="J703" t="str">
            <v xml:space="preserve"> </v>
          </cell>
        </row>
        <row r="704">
          <cell r="A704">
            <v>703</v>
          </cell>
          <cell r="B704" t="str">
            <v xml:space="preserve">Réf. Chapeau (tête)  </v>
          </cell>
          <cell r="C704" t="str">
            <v>Cap ref.</v>
          </cell>
          <cell r="D704" t="str">
            <v>Referencja pokrywy</v>
          </cell>
          <cell r="E704" t="str">
            <v>Referinta capac de pistol</v>
          </cell>
          <cell r="F704" t="str">
            <v>Ref. Cabezal (cabeza)</v>
          </cell>
          <cell r="G704" t="str">
            <v>Refª do chapéu</v>
          </cell>
          <cell r="H704" t="str">
            <v>Levegõ sapka</v>
          </cell>
          <cell r="I704" t="str">
            <v>ref.hlavy</v>
          </cell>
          <cell r="J704" t="str">
            <v xml:space="preserve"> </v>
          </cell>
        </row>
        <row r="705">
          <cell r="A705">
            <v>704</v>
          </cell>
          <cell r="B705" t="str">
            <v xml:space="preserve">Distance pistolage   </v>
          </cell>
          <cell r="C705" t="str">
            <v>Spray-up distance</v>
          </cell>
          <cell r="D705" t="str">
            <v>Zasięg spray'u</v>
          </cell>
          <cell r="E705" t="str">
            <v>Distanta  de vopsire</v>
          </cell>
          <cell r="F705" t="str">
            <v>Distancia trabajo pistola</v>
          </cell>
          <cell r="G705" t="str">
            <v>Distancia de trabalho da pistola</v>
          </cell>
          <cell r="H705" t="str">
            <v>Szórás távolság</v>
          </cell>
          <cell r="I705" t="str">
            <v>vzdialenosť pištole</v>
          </cell>
          <cell r="J705" t="str">
            <v xml:space="preserve"> </v>
          </cell>
        </row>
        <row r="706">
          <cell r="A706">
            <v>705</v>
          </cell>
          <cell r="B706" t="str">
            <v xml:space="preserve">Viscosité prêt à l'emploi à 20°C </v>
          </cell>
          <cell r="C706" t="str">
            <v>Viscosity ready for use at 20°C</v>
          </cell>
          <cell r="D706" t="str">
            <v>Lepkość gotowa do użycia przy 20°C</v>
          </cell>
          <cell r="E706" t="str">
            <v>Viscozitate de folosire la 20°C</v>
          </cell>
          <cell r="F706" t="str">
            <v>Viscosidad estar empleo a 20°C</v>
          </cell>
          <cell r="G706" t="str">
            <v>Viscosidade para aplicação ( a 20º.C)</v>
          </cell>
          <cell r="H706" t="str">
            <v>Vizkozitás 20 Celziusz fokon</v>
          </cell>
          <cell r="I706" t="str">
            <v>viskozita pripravená na prácu pri 20°C</v>
          </cell>
          <cell r="J706" t="str">
            <v xml:space="preserve"> </v>
          </cell>
        </row>
        <row r="707">
          <cell r="A707">
            <v>706</v>
          </cell>
          <cell r="B707" t="str">
            <v>Palette de pièces</v>
          </cell>
          <cell r="C707" t="str">
            <v>Palet with parts</v>
          </cell>
          <cell r="D707" t="str">
            <v>Paleta z detalami</v>
          </cell>
          <cell r="E707" t="str">
            <v>Palet cu piese</v>
          </cell>
          <cell r="F707" t="str">
            <v>Paleta de pieza</v>
          </cell>
          <cell r="G707" t="str">
            <v>Palete de peças</v>
          </cell>
          <cell r="H707" t="str">
            <v xml:space="preserve"> --&gt; hungarian ?</v>
          </cell>
          <cell r="I707" t="str">
            <v>paleta s kusmi</v>
          </cell>
          <cell r="J707" t="str">
            <v xml:space="preserve"> </v>
          </cell>
        </row>
        <row r="708">
          <cell r="A708">
            <v>707</v>
          </cell>
          <cell r="B708" t="str">
            <v>Cartons de pièces</v>
          </cell>
          <cell r="C708" t="str">
            <v>Cardboard with parts</v>
          </cell>
          <cell r="D708" t="str">
            <v>Kartony z detalami</v>
          </cell>
          <cell r="E708" t="str">
            <v>Cutie cu piese</v>
          </cell>
          <cell r="F708" t="str">
            <v>Cartón de pieza</v>
          </cell>
          <cell r="G708" t="str">
            <v>Peças em caixas de cartão</v>
          </cell>
          <cell r="H708" t="str">
            <v xml:space="preserve"> --&gt; hungarian ?</v>
          </cell>
          <cell r="I708" t="str">
            <v>kartón s kusmi</v>
          </cell>
          <cell r="J708" t="str">
            <v xml:space="preserve"> </v>
          </cell>
        </row>
        <row r="709">
          <cell r="A709">
            <v>708</v>
          </cell>
          <cell r="B709" t="str">
            <v>Tableau de commande</v>
          </cell>
          <cell r="C709" t="str">
            <v>Control board</v>
          </cell>
          <cell r="D709" t="str">
            <v>Panel sterowania</v>
          </cell>
          <cell r="E709" t="str">
            <v>Tablou de comanda</v>
          </cell>
          <cell r="F709" t="str">
            <v>Cuadro de mando</v>
          </cell>
          <cell r="G709" t="str">
            <v>Quadro de comando</v>
          </cell>
          <cell r="H709" t="str">
            <v xml:space="preserve"> --&gt; hungarian ?</v>
          </cell>
          <cell r="I709" t="str">
            <v>kontrolná tabuľa</v>
          </cell>
          <cell r="J709" t="str">
            <v xml:space="preserve"> </v>
          </cell>
        </row>
        <row r="710">
          <cell r="A710">
            <v>709</v>
          </cell>
          <cell r="B710" t="str">
            <v xml:space="preserve">PREPARATION PEINTURE </v>
          </cell>
          <cell r="C710" t="str">
            <v>PAINTING PREPARATION</v>
          </cell>
          <cell r="D710" t="str">
            <v>Przygotowanie malowania</v>
          </cell>
          <cell r="E710" t="str">
            <v>VOPSITORIE PREPARARE</v>
          </cell>
          <cell r="F710" t="str">
            <v>PREPARACIÓN PINTURA</v>
          </cell>
          <cell r="G710" t="str">
            <v>PREPARAÇÃO DE TINTA</v>
          </cell>
          <cell r="H710" t="str">
            <v>FESTÕ PREPARATION</v>
          </cell>
          <cell r="I710" t="str">
            <v>PRÍPRAVA FARBENIA</v>
          </cell>
          <cell r="J710" t="str">
            <v xml:space="preserve"> </v>
          </cell>
        </row>
        <row r="711">
          <cell r="A711">
            <v>710</v>
          </cell>
          <cell r="B711" t="str">
            <v>REGLAGES MACHINE</v>
          </cell>
          <cell r="C711" t="str">
            <v>MACHINE SETTINGS</v>
          </cell>
          <cell r="D711" t="str">
            <v>Ustawienia maszyny</v>
          </cell>
          <cell r="E711" t="str">
            <v>Setare masina</v>
          </cell>
          <cell r="F711" t="str">
            <v>AJUSTE DE LA MÁQUINA</v>
          </cell>
          <cell r="G711" t="str">
            <v>AFINAÇÃO DE MÁQUINA</v>
          </cell>
          <cell r="H711" t="str">
            <v>GÉP PARAMÉTER</v>
          </cell>
          <cell r="I711" t="str">
            <v xml:space="preserve"> --&gt; … stroj slovakian ?</v>
          </cell>
          <cell r="J711" t="str">
            <v xml:space="preserve"> </v>
          </cell>
        </row>
        <row r="712">
          <cell r="A712">
            <v>711</v>
          </cell>
          <cell r="B712" t="str">
            <v>N° SUPPORT</v>
          </cell>
          <cell r="C712" t="str">
            <v>SUPPORT nbr</v>
          </cell>
          <cell r="D712" t="str">
            <v>NR WSPORNIKA</v>
          </cell>
          <cell r="E712" t="str">
            <v>nr. suportului</v>
          </cell>
          <cell r="F712" t="str">
            <v>N° SOPORTE</v>
          </cell>
          <cell r="G712" t="str">
            <v>SUPORTE Nº.</v>
          </cell>
          <cell r="H712" t="str">
            <v>TARTÓ sz.</v>
          </cell>
          <cell r="I712" t="str">
            <v>Č RÁMU</v>
          </cell>
          <cell r="J712" t="str">
            <v xml:space="preserve"> </v>
          </cell>
        </row>
        <row r="713">
          <cell r="A713">
            <v>712</v>
          </cell>
          <cell r="B713" t="str">
            <v>N° ROBOT</v>
          </cell>
          <cell r="C713" t="str">
            <v>ROBOT Nbr</v>
          </cell>
          <cell r="D713" t="str">
            <v>NR ROBOTA</v>
          </cell>
          <cell r="E713" t="str">
            <v>nr. ROBOT</v>
          </cell>
          <cell r="F713" t="str">
            <v>N° ROBOT</v>
          </cell>
          <cell r="G713" t="str">
            <v>ROBOT Nº.</v>
          </cell>
          <cell r="H713" t="str">
            <v>ROBOT sz.</v>
          </cell>
          <cell r="I713" t="str">
            <v>Č. ROBOTA</v>
          </cell>
          <cell r="J713" t="str">
            <v xml:space="preserve"> </v>
          </cell>
        </row>
        <row r="714">
          <cell r="A714">
            <v>713</v>
          </cell>
          <cell r="B714" t="str">
            <v>T°C Tunnel</v>
          </cell>
          <cell r="C714" t="str">
            <v>Tunnel temperature</v>
          </cell>
          <cell r="D714" t="str">
            <v>Temperatura tunelu</v>
          </cell>
          <cell r="E714" t="str">
            <v>Temperature in tunel</v>
          </cell>
          <cell r="F714" t="str">
            <v>T°C Túnel</v>
          </cell>
          <cell r="G714" t="str">
            <v>Temperatura do tunel</v>
          </cell>
          <cell r="H714" t="str">
            <v>Száríto hõmérséklet</v>
          </cell>
          <cell r="I714" t="str">
            <v>T°C v tunely</v>
          </cell>
          <cell r="J714" t="str">
            <v xml:space="preserve"> </v>
          </cell>
        </row>
        <row r="715">
          <cell r="A715">
            <v>714</v>
          </cell>
          <cell r="B715" t="str">
            <v>Vitesse tunnel</v>
          </cell>
          <cell r="C715" t="str">
            <v>Tunnel speed</v>
          </cell>
          <cell r="D715" t="str">
            <v>Prędkośc tunelu</v>
          </cell>
          <cell r="E715" t="str">
            <v>Viteza tunel</v>
          </cell>
          <cell r="F715" t="str">
            <v>Velocidad túnel</v>
          </cell>
          <cell r="G715" t="str">
            <v>Velocidade no tunel</v>
          </cell>
          <cell r="H715" t="str">
            <v>Szalag sebesség</v>
          </cell>
          <cell r="I715" t="str">
            <v>rýchlosť tunela</v>
          </cell>
          <cell r="J715" t="str">
            <v xml:space="preserve"> </v>
          </cell>
        </row>
        <row r="716">
          <cell r="A716">
            <v>715</v>
          </cell>
          <cell r="J716" t="str">
            <v xml:space="preserve"> </v>
          </cell>
        </row>
        <row r="717">
          <cell r="A717">
            <v>716</v>
          </cell>
          <cell r="B717" t="str">
            <v>Pression largeur</v>
          </cell>
          <cell r="C717" t="str">
            <v>Width pressure</v>
          </cell>
          <cell r="D717" t="str">
            <v>Szerokość ciśnienia</v>
          </cell>
          <cell r="E717" t="str">
            <v>Marima raze de pulverizare</v>
          </cell>
          <cell r="F717" t="str">
            <v>Presión anchura</v>
          </cell>
          <cell r="G717" t="str">
            <v>Pressão largura</v>
          </cell>
          <cell r="H717" t="str">
            <v>Sép</v>
          </cell>
          <cell r="I717" t="str">
            <v>tlak šírky</v>
          </cell>
          <cell r="J717" t="str">
            <v xml:space="preserve"> </v>
          </cell>
        </row>
        <row r="718">
          <cell r="A718">
            <v>717</v>
          </cell>
          <cell r="B718" t="str">
            <v>Pression atomisation</v>
          </cell>
          <cell r="C718" t="str">
            <v>Atomization pressure</v>
          </cell>
          <cell r="D718" t="str">
            <v>Ciśnienie atomizacji</v>
          </cell>
          <cell r="E718" t="str">
            <v>Presiuna de pulverizare</v>
          </cell>
          <cell r="F718" t="str">
            <v>Presión atomización</v>
          </cell>
          <cell r="G718" t="str">
            <v>Pressão de pulverização</v>
          </cell>
          <cell r="H718" t="str">
            <v>Atom. Nyomás</v>
          </cell>
          <cell r="I718" t="str">
            <v>tlak rozprašovania</v>
          </cell>
          <cell r="J718" t="str">
            <v xml:space="preserve"> </v>
          </cell>
        </row>
        <row r="719">
          <cell r="A719">
            <v>718</v>
          </cell>
          <cell r="B719" t="str">
            <v>Pression produit</v>
          </cell>
          <cell r="C719" t="str">
            <v>Product pressure</v>
          </cell>
          <cell r="D719" t="str">
            <v>Ciśnienie produktu</v>
          </cell>
          <cell r="E719" t="str">
            <v>Presiune de vopsea</v>
          </cell>
          <cell r="F719" t="str">
            <v>Presión producto</v>
          </cell>
          <cell r="G719" t="str">
            <v>Pressão produto</v>
          </cell>
          <cell r="H719" t="str">
            <v>Anyag nyomás</v>
          </cell>
          <cell r="I719" t="str">
            <v>tlak výrobku</v>
          </cell>
          <cell r="J719" t="str">
            <v xml:space="preserve"> </v>
          </cell>
        </row>
        <row r="720">
          <cell r="A720">
            <v>719</v>
          </cell>
          <cell r="B720" t="str">
            <v>% dilution en poids</v>
          </cell>
          <cell r="C720" t="str">
            <v>Dilution % in weight</v>
          </cell>
          <cell r="D720" t="str">
            <v>% rozcieńczalnika w masie</v>
          </cell>
          <cell r="E720" t="str">
            <v>% de diluare in greutate</v>
          </cell>
          <cell r="F720" t="str">
            <v>% dilución en peso</v>
          </cell>
          <cell r="G720" t="str">
            <v>% de diluição em peso</v>
          </cell>
          <cell r="H720" t="str">
            <v xml:space="preserve"> --&gt; hungarian ?</v>
          </cell>
          <cell r="I720" t="str">
            <v>% riedenia vyjadrené v hmotnosti</v>
          </cell>
          <cell r="J720" t="str">
            <v xml:space="preserve"> </v>
          </cell>
        </row>
        <row r="721">
          <cell r="A721">
            <v>720</v>
          </cell>
          <cell r="B721" t="str">
            <v>Durée d'utilisation (h.)</v>
          </cell>
          <cell r="C721" t="str">
            <v>Pot life (h.)</v>
          </cell>
          <cell r="D721" t="str">
            <v>Dopuszczalny okres użytkowania (w godzin.)</v>
          </cell>
          <cell r="E721" t="str">
            <v>Timp de folosire la amestec</v>
          </cell>
          <cell r="F721" t="str">
            <v>Vida útil (h.)</v>
          </cell>
          <cell r="G721" t="str">
            <v>Pot life( horas)</v>
          </cell>
          <cell r="H721" t="str">
            <v xml:space="preserve"> --&gt; hungarian ?</v>
          </cell>
          <cell r="I721" t="str">
            <v>trvanie použitia ( hodiny )</v>
          </cell>
          <cell r="J721" t="str">
            <v xml:space="preserve"> </v>
          </cell>
        </row>
        <row r="722">
          <cell r="A722">
            <v>721</v>
          </cell>
          <cell r="B722" t="str">
            <v>Pas entre 2 chariots</v>
          </cell>
          <cell r="C722" t="str">
            <v>Spacing between 2 trolleys</v>
          </cell>
          <cell r="D722" t="str">
            <v>odstępy między 2 wózkami</v>
          </cell>
          <cell r="E722" t="str">
            <v>Spatiu  intre doua ciorchina</v>
          </cell>
          <cell r="F722" t="str">
            <v>Espacio entre 2 carros</v>
          </cell>
          <cell r="G722" t="str">
            <v>Espaço entre 2 carros</v>
          </cell>
          <cell r="H722" t="str">
            <v>Tartó távolság</v>
          </cell>
          <cell r="I722" t="str">
            <v>nevstupujte medzi 2 vozíky</v>
          </cell>
          <cell r="J722" t="str">
            <v xml:space="preserve"> </v>
          </cell>
        </row>
        <row r="723">
          <cell r="A723">
            <v>722</v>
          </cell>
          <cell r="B723" t="str">
            <v>% puissance lampes UV</v>
          </cell>
          <cell r="C723" t="str">
            <v>UV lamp power %</v>
          </cell>
          <cell r="D723" t="str">
            <v>% moc lamp UV</v>
          </cell>
          <cell r="E723" t="str">
            <v xml:space="preserve">Putere lampa UV </v>
          </cell>
          <cell r="F723" t="str">
            <v>% potencia lamparas UV</v>
          </cell>
          <cell r="G723" t="str">
            <v>Potencia das Lampadas UV %</v>
          </cell>
          <cell r="H723" t="str">
            <v>Zóna</v>
          </cell>
          <cell r="I723" t="str">
            <v>% sily lampy UV</v>
          </cell>
          <cell r="J723" t="str">
            <v xml:space="preserve"> </v>
          </cell>
        </row>
        <row r="724">
          <cell r="A724">
            <v>723</v>
          </cell>
          <cell r="J724" t="str">
            <v xml:space="preserve"> </v>
          </cell>
        </row>
        <row r="725">
          <cell r="A725">
            <v>724</v>
          </cell>
          <cell r="J725" t="str">
            <v xml:space="preserve"> </v>
          </cell>
        </row>
        <row r="726">
          <cell r="A726">
            <v>725</v>
          </cell>
          <cell r="B726" t="str">
            <v>Fiche de réglage (Type) : PEINTURE MANUELLE</v>
          </cell>
          <cell r="C726" t="str">
            <v>Adjustment sheet  (Type) : MANUAL PAINTING</v>
          </cell>
          <cell r="D726" t="str">
            <v>KARTA USTAW. PARAMETRÓW (Ogólna) MALOWANIE RĘCZNE</v>
          </cell>
          <cell r="E726" t="str">
            <v>FISA DE REGLARE (Tip) MANUAL VOPSITORIE</v>
          </cell>
          <cell r="F726" t="str">
            <v>FICHA DE AJUSTE (Tipo) : PINTURA MANUAL</v>
          </cell>
          <cell r="G726" t="str">
            <v>Ficha Tecnica de Pintura - APLICAÇÃO MANUAL.</v>
          </cell>
          <cell r="H726" t="str">
            <v>TECHNOLÓGIAI LAP (típusonként) : MANUAL FESTÕ</v>
          </cell>
          <cell r="I726" t="str">
            <v>nastavenie ( typ ) : FARBENIE MANUÁLNE</v>
          </cell>
          <cell r="J726" t="str">
            <v xml:space="preserve"> </v>
          </cell>
        </row>
        <row r="727">
          <cell r="A727">
            <v>726</v>
          </cell>
          <cell r="J727" t="str">
            <v xml:space="preserve"> </v>
          </cell>
        </row>
        <row r="728">
          <cell r="A728">
            <v>727</v>
          </cell>
          <cell r="J728" t="str">
            <v xml:space="preserve"> </v>
          </cell>
        </row>
        <row r="729">
          <cell r="A729">
            <v>728</v>
          </cell>
          <cell r="J729" t="str">
            <v xml:space="preserve"> </v>
          </cell>
        </row>
        <row r="730">
          <cell r="A730">
            <v>729</v>
          </cell>
          <cell r="J730" t="str">
            <v xml:space="preserve"> </v>
          </cell>
        </row>
        <row r="731">
          <cell r="A731">
            <v>730</v>
          </cell>
          <cell r="J731" t="str">
            <v xml:space="preserve"> </v>
          </cell>
        </row>
        <row r="732">
          <cell r="A732">
            <v>731</v>
          </cell>
          <cell r="J732" t="str">
            <v xml:space="preserve"> </v>
          </cell>
        </row>
        <row r="733">
          <cell r="A733">
            <v>732</v>
          </cell>
          <cell r="J733" t="str">
            <v xml:space="preserve"> </v>
          </cell>
        </row>
        <row r="734">
          <cell r="A734">
            <v>733</v>
          </cell>
          <cell r="J734" t="str">
            <v xml:space="preserve"> </v>
          </cell>
        </row>
        <row r="735">
          <cell r="A735">
            <v>734</v>
          </cell>
          <cell r="J735" t="str">
            <v xml:space="preserve"> </v>
          </cell>
        </row>
        <row r="736">
          <cell r="A736">
            <v>735</v>
          </cell>
          <cell r="J736" t="str">
            <v xml:space="preserve"> </v>
          </cell>
        </row>
        <row r="737">
          <cell r="A737">
            <v>736</v>
          </cell>
          <cell r="J737" t="str">
            <v xml:space="preserve"> </v>
          </cell>
        </row>
        <row r="738">
          <cell r="A738">
            <v>737</v>
          </cell>
          <cell r="J738" t="str">
            <v xml:space="preserve"> </v>
          </cell>
        </row>
        <row r="739">
          <cell r="A739">
            <v>738</v>
          </cell>
          <cell r="J739" t="str">
            <v xml:space="preserve"> </v>
          </cell>
        </row>
        <row r="740">
          <cell r="A740">
            <v>739</v>
          </cell>
          <cell r="J740" t="str">
            <v xml:space="preserve"> </v>
          </cell>
        </row>
        <row r="741">
          <cell r="A741">
            <v>740</v>
          </cell>
          <cell r="B741" t="str">
            <v>Fiche de réglage (Type) : PEINTURE ROBOT 6 AXES</v>
          </cell>
          <cell r="C741" t="str">
            <v>Adjustment sheet (Type) :  6 AXIS ROBOT PAINTING</v>
          </cell>
          <cell r="D741" t="str">
            <v>KARTA USTAW. PARAMETRÓW (Ogólna) MALOWANIE  : ROBOTEM 6-OSIOWYM</v>
          </cell>
          <cell r="E741" t="str">
            <v>FISA DE REGLARE (Tip) BOBOT 6 AXIS VOPSITORIE</v>
          </cell>
          <cell r="F741" t="str">
            <v>FICHA DE AJUSTE (Tipo) : PINTURA ROBOT 6 EJES</v>
          </cell>
          <cell r="G741" t="str">
            <v>Ficha Tecnica de Pintura - PINTURA Robot DE 6 EIXOS.</v>
          </cell>
          <cell r="H741" t="str">
            <v>TECHNOLÓGIAI LAP (típusonként) : 6 AXIS ROBOT FESTÕ</v>
          </cell>
          <cell r="J741" t="str">
            <v xml:space="preserve"> </v>
          </cell>
        </row>
        <row r="742">
          <cell r="A742">
            <v>741</v>
          </cell>
          <cell r="J742" t="str">
            <v xml:space="preserve"> </v>
          </cell>
        </row>
        <row r="743">
          <cell r="A743">
            <v>742</v>
          </cell>
          <cell r="J743" t="str">
            <v xml:space="preserve"> </v>
          </cell>
        </row>
        <row r="744">
          <cell r="A744">
            <v>743</v>
          </cell>
          <cell r="J744" t="str">
            <v xml:space="preserve"> </v>
          </cell>
        </row>
        <row r="745">
          <cell r="A745">
            <v>744</v>
          </cell>
          <cell r="J745" t="str">
            <v xml:space="preserve"> </v>
          </cell>
        </row>
        <row r="746">
          <cell r="A746">
            <v>745</v>
          </cell>
          <cell r="J746" t="str">
            <v xml:space="preserve"> </v>
          </cell>
        </row>
        <row r="747">
          <cell r="A747">
            <v>746</v>
          </cell>
          <cell r="J747" t="str">
            <v xml:space="preserve"> </v>
          </cell>
        </row>
        <row r="748">
          <cell r="A748">
            <v>747</v>
          </cell>
          <cell r="J748" t="str">
            <v xml:space="preserve"> </v>
          </cell>
        </row>
        <row r="749">
          <cell r="A749">
            <v>748</v>
          </cell>
          <cell r="J749" t="str">
            <v xml:space="preserve"> </v>
          </cell>
        </row>
        <row r="750">
          <cell r="A750">
            <v>749</v>
          </cell>
          <cell r="J750" t="str">
            <v xml:space="preserve"> </v>
          </cell>
        </row>
        <row r="751">
          <cell r="A751">
            <v>750</v>
          </cell>
          <cell r="J751" t="str">
            <v xml:space="preserve"> </v>
          </cell>
        </row>
        <row r="752">
          <cell r="A752">
            <v>751</v>
          </cell>
          <cell r="J752" t="str">
            <v xml:space="preserve"> </v>
          </cell>
        </row>
        <row r="753">
          <cell r="A753">
            <v>752</v>
          </cell>
          <cell r="J753" t="str">
            <v xml:space="preserve"> </v>
          </cell>
        </row>
        <row r="754">
          <cell r="A754">
            <v>753</v>
          </cell>
          <cell r="J754" t="str">
            <v xml:space="preserve"> </v>
          </cell>
        </row>
        <row r="755">
          <cell r="A755">
            <v>754</v>
          </cell>
          <cell r="J755" t="str">
            <v xml:space="preserve"> </v>
          </cell>
        </row>
        <row r="756">
          <cell r="A756">
            <v>755</v>
          </cell>
          <cell r="B756" t="str">
            <v>Fiche de réglage (Type) : PEINTURE BRC-SUNKISS</v>
          </cell>
          <cell r="C756" t="str">
            <v>Adjustment sheet (Type) : BRC-SUNKISS PAINTING</v>
          </cell>
          <cell r="D756" t="str">
            <v>KARTA USTAW PARAMETRÓW (Ogólna) MALOWANIE   : SUNKISS</v>
          </cell>
          <cell r="E756" t="str">
            <v>FISA DE REGLARE (Tip) SUNKISS VOPSITORIE</v>
          </cell>
          <cell r="F756" t="str">
            <v>FICHA DE AJUSTE DE PINTURA (Tipo) : BRC-SUNKISS</v>
          </cell>
          <cell r="G756" t="str">
            <v>Ficha Tecnica de Pintura - PINTURA BRC -Sunkiss.</v>
          </cell>
          <cell r="H756" t="str">
            <v>TECHNOLÓGIAI LAP (típusonként) : SUNKISS FESTÕ</v>
          </cell>
          <cell r="J756" t="str">
            <v xml:space="preserve"> </v>
          </cell>
        </row>
        <row r="757">
          <cell r="A757">
            <v>756</v>
          </cell>
          <cell r="J757" t="str">
            <v xml:space="preserve"> </v>
          </cell>
        </row>
        <row r="758">
          <cell r="A758">
            <v>757</v>
          </cell>
          <cell r="J758" t="str">
            <v xml:space="preserve"> </v>
          </cell>
        </row>
        <row r="759">
          <cell r="A759">
            <v>758</v>
          </cell>
          <cell r="J759" t="str">
            <v xml:space="preserve"> </v>
          </cell>
        </row>
        <row r="760">
          <cell r="A760">
            <v>759</v>
          </cell>
          <cell r="J760" t="str">
            <v xml:space="preserve"> </v>
          </cell>
        </row>
        <row r="761">
          <cell r="A761">
            <v>760</v>
          </cell>
          <cell r="J761" t="str">
            <v xml:space="preserve"> </v>
          </cell>
        </row>
        <row r="762">
          <cell r="A762">
            <v>761</v>
          </cell>
          <cell r="J762" t="str">
            <v xml:space="preserve"> </v>
          </cell>
        </row>
        <row r="763">
          <cell r="A763">
            <v>762</v>
          </cell>
          <cell r="J763" t="str">
            <v xml:space="preserve"> </v>
          </cell>
        </row>
        <row r="764">
          <cell r="A764">
            <v>763</v>
          </cell>
          <cell r="J764" t="str">
            <v xml:space="preserve"> </v>
          </cell>
        </row>
        <row r="765">
          <cell r="A765">
            <v>764</v>
          </cell>
          <cell r="J765" t="str">
            <v xml:space="preserve"> </v>
          </cell>
        </row>
        <row r="766">
          <cell r="A766">
            <v>765</v>
          </cell>
          <cell r="J766" t="str">
            <v xml:space="preserve"> </v>
          </cell>
        </row>
        <row r="767">
          <cell r="A767">
            <v>766</v>
          </cell>
          <cell r="J767" t="str">
            <v xml:space="preserve"> </v>
          </cell>
        </row>
        <row r="768">
          <cell r="A768">
            <v>767</v>
          </cell>
          <cell r="J768" t="str">
            <v xml:space="preserve"> </v>
          </cell>
        </row>
        <row r="769">
          <cell r="A769">
            <v>768</v>
          </cell>
          <cell r="J769" t="str">
            <v xml:space="preserve"> </v>
          </cell>
        </row>
        <row r="770">
          <cell r="A770">
            <v>769</v>
          </cell>
          <cell r="J770" t="str">
            <v xml:space="preserve"> </v>
          </cell>
        </row>
        <row r="771">
          <cell r="A771">
            <v>770</v>
          </cell>
          <cell r="B771" t="str">
            <v>Fiche de réglage (type) SERIGRAPHIE</v>
          </cell>
          <cell r="C771" t="str">
            <v>Adjustment sheet (Type) SCREEN PRINTING</v>
          </cell>
          <cell r="D771" t="str">
            <v xml:space="preserve">KARTA USTAW. PARAMETRÓW SITODRUKU (Ogólna) </v>
          </cell>
          <cell r="E771" t="str">
            <v>FISA DE REGLARE (Tip) SERIGRAFIE</v>
          </cell>
          <cell r="F771" t="str">
            <v>FICHA DE AJUSTE (Tipo) SERIGRAFIA</v>
          </cell>
          <cell r="G771" t="str">
            <v>Ficha Técnica de SERIGRAFIA</v>
          </cell>
          <cell r="H771" t="str">
            <v>TECHNOLÓGIAI LAP (típusonként) : SCREEN FESTÕ</v>
          </cell>
          <cell r="I771" t="str">
            <v>nastavenie ( typ ) SERIGRAFIA</v>
          </cell>
          <cell r="J771" t="str">
            <v xml:space="preserve"> </v>
          </cell>
        </row>
        <row r="772">
          <cell r="A772">
            <v>771</v>
          </cell>
          <cell r="B772" t="str">
            <v>PREPARATION DE L'ENCRE</v>
          </cell>
          <cell r="C772" t="str">
            <v>INK PREPARATION</v>
          </cell>
          <cell r="D772" t="str">
            <v>Przygotowanie Tuszu</v>
          </cell>
          <cell r="E772" t="str">
            <v>CERNEALA PREPARARE</v>
          </cell>
          <cell r="F772" t="str">
            <v>PREPARACIÓN DE LA TINTA</v>
          </cell>
          <cell r="G772" t="str">
            <v>PREPARAÇÃO DA TINTA</v>
          </cell>
          <cell r="H772" t="str">
            <v xml:space="preserve"> --&gt; hungarian ?</v>
          </cell>
          <cell r="J772" t="str">
            <v xml:space="preserve"> </v>
          </cell>
        </row>
        <row r="773">
          <cell r="A773">
            <v>772</v>
          </cell>
          <cell r="B773" t="str">
            <v>Fournisseur écran</v>
          </cell>
          <cell r="C773" t="str">
            <v>Screen supplier</v>
          </cell>
          <cell r="D773" t="str">
            <v>Dostawca ekranu</v>
          </cell>
          <cell r="E773" t="str">
            <v>Furnizor de ecrane</v>
          </cell>
          <cell r="F773" t="str">
            <v>Suministrador cuadro</v>
          </cell>
          <cell r="G773" t="str">
            <v>Fornecedor do Cliché</v>
          </cell>
          <cell r="H773" t="str">
            <v>Screen beszállítói</v>
          </cell>
          <cell r="J773" t="str">
            <v xml:space="preserve"> </v>
          </cell>
        </row>
        <row r="774">
          <cell r="A774">
            <v>773</v>
          </cell>
          <cell r="B774" t="str">
            <v>N° Ecran</v>
          </cell>
          <cell r="C774" t="str">
            <v>Screen number</v>
          </cell>
          <cell r="D774" t="str">
            <v>Nr ekranu</v>
          </cell>
          <cell r="E774" t="str">
            <v>Numarul ecranului</v>
          </cell>
          <cell r="F774" t="str">
            <v>N° Cuadro</v>
          </cell>
          <cell r="G774" t="str">
            <v>Nº. do Cliché</v>
          </cell>
          <cell r="H774" t="str">
            <v xml:space="preserve"> --&gt; hungarian ?</v>
          </cell>
          <cell r="J774" t="str">
            <v xml:space="preserve"> </v>
          </cell>
        </row>
        <row r="775">
          <cell r="A775">
            <v>774</v>
          </cell>
          <cell r="J775" t="str">
            <v xml:space="preserve"> </v>
          </cell>
        </row>
        <row r="776">
          <cell r="A776">
            <v>775</v>
          </cell>
          <cell r="B776" t="str">
            <v>Dimensions écran</v>
          </cell>
          <cell r="C776" t="str">
            <v>Screen dimensions</v>
          </cell>
          <cell r="D776" t="str">
            <v>Wymiary ekranu</v>
          </cell>
          <cell r="E776" t="str">
            <v>Dimensiunile ecranului</v>
          </cell>
          <cell r="F776" t="str">
            <v>Dimensiónes cuadro</v>
          </cell>
          <cell r="G776" t="str">
            <v>Dimensão do écran</v>
          </cell>
          <cell r="H776" t="str">
            <v xml:space="preserve"> --&gt; hungarian ?</v>
          </cell>
          <cell r="J776" t="str">
            <v xml:space="preserve"> </v>
          </cell>
        </row>
        <row r="777">
          <cell r="A777">
            <v>776</v>
          </cell>
          <cell r="B777" t="str">
            <v>Nombre de mailles</v>
          </cell>
          <cell r="C777" t="str">
            <v>Mesh quantity</v>
          </cell>
          <cell r="D777" t="str">
            <v>Liczba ściegów</v>
          </cell>
          <cell r="E777" t="str">
            <v>Nr. Ochiurilor</v>
          </cell>
          <cell r="F777" t="str">
            <v>Número de mallas</v>
          </cell>
          <cell r="G777" t="str">
            <v>Nº de malhas</v>
          </cell>
          <cell r="H777" t="str">
            <v xml:space="preserve"> --&gt; hungarian ?</v>
          </cell>
          <cell r="J777" t="str">
            <v xml:space="preserve"> </v>
          </cell>
        </row>
        <row r="778">
          <cell r="A778">
            <v>777</v>
          </cell>
          <cell r="B778" t="str">
            <v>Orientation maille</v>
          </cell>
          <cell r="C778" t="str">
            <v>Mesh orientation</v>
          </cell>
          <cell r="D778" t="str">
            <v>Kierunek ściegów</v>
          </cell>
          <cell r="E778" t="str">
            <v>Orientarea ochiurilor</v>
          </cell>
          <cell r="F778" t="str">
            <v>Orientación mallas</v>
          </cell>
          <cell r="G778" t="str">
            <v>Orientação das malhas</v>
          </cell>
          <cell r="H778" t="str">
            <v xml:space="preserve"> --&gt; hungarian ?</v>
          </cell>
          <cell r="J778" t="str">
            <v xml:space="preserve"> </v>
          </cell>
        </row>
        <row r="779">
          <cell r="A779">
            <v>778</v>
          </cell>
          <cell r="B779" t="str">
            <v>Trame</v>
          </cell>
          <cell r="C779" t="str">
            <v>Weft</v>
          </cell>
          <cell r="D779" t="str">
            <v>Trama</v>
          </cell>
          <cell r="E779" t="str">
            <v>Trama</v>
          </cell>
          <cell r="F779" t="str">
            <v>Trama</v>
          </cell>
          <cell r="G779" t="str">
            <v>Trama</v>
          </cell>
          <cell r="H779" t="str">
            <v xml:space="preserve"> --&gt; hungarian ?</v>
          </cell>
          <cell r="J779" t="str">
            <v xml:space="preserve"> </v>
          </cell>
        </row>
        <row r="780">
          <cell r="A780">
            <v>779</v>
          </cell>
          <cell r="B780" t="str">
            <v>Type de tissu</v>
          </cell>
          <cell r="C780" t="str">
            <v>Tissue type</v>
          </cell>
          <cell r="D780" t="str">
            <v>Rodzaj materiału</v>
          </cell>
          <cell r="E780" t="str">
            <v>Tipul tesaturii</v>
          </cell>
          <cell r="F780" t="str">
            <v>Tipo de tela</v>
          </cell>
          <cell r="G780" t="str">
            <v>Tipo de tela</v>
          </cell>
          <cell r="H780" t="str">
            <v xml:space="preserve"> --&gt; hungarian ?</v>
          </cell>
          <cell r="J780" t="str">
            <v xml:space="preserve"> </v>
          </cell>
        </row>
        <row r="781">
          <cell r="A781">
            <v>780</v>
          </cell>
          <cell r="B781" t="str">
            <v>Fournisseur racle</v>
          </cell>
          <cell r="C781" t="str">
            <v>Scraping tool supplier</v>
          </cell>
          <cell r="D781" t="str">
            <v>Dostawca rakli</v>
          </cell>
          <cell r="E781" t="str">
            <v>Furnizor racleta</v>
          </cell>
          <cell r="F781" t="str">
            <v>Suministrador rasqueta</v>
          </cell>
          <cell r="G781" t="str">
            <v>Fornecedor da raquelete</v>
          </cell>
          <cell r="H781" t="str">
            <v>Scraping tool beszállítói</v>
          </cell>
          <cell r="J781" t="str">
            <v xml:space="preserve"> </v>
          </cell>
        </row>
        <row r="782">
          <cell r="A782">
            <v>781</v>
          </cell>
          <cell r="B782" t="str">
            <v>Référence racle</v>
          </cell>
          <cell r="C782" t="str">
            <v>Scraping tool ref.</v>
          </cell>
          <cell r="D782" t="str">
            <v>Referencja rakli</v>
          </cell>
          <cell r="E782" t="str">
            <v>Referinta racletei</v>
          </cell>
          <cell r="F782" t="str">
            <v>Referencia rasqueta</v>
          </cell>
          <cell r="G782" t="str">
            <v>Referencia da raquelete</v>
          </cell>
          <cell r="H782" t="str">
            <v xml:space="preserve"> --&gt; hungarian ?</v>
          </cell>
          <cell r="J782" t="str">
            <v xml:space="preserve"> </v>
          </cell>
        </row>
        <row r="783">
          <cell r="A783">
            <v>782</v>
          </cell>
          <cell r="B783" t="str">
            <v>Type de racle</v>
          </cell>
          <cell r="C783" t="str">
            <v>Scraping tool type</v>
          </cell>
          <cell r="D783" t="str">
            <v>Rodzaj rakli</v>
          </cell>
          <cell r="E783" t="str">
            <v>Tipul racletei</v>
          </cell>
          <cell r="F783" t="str">
            <v>Tipo de rasqueta</v>
          </cell>
          <cell r="G783" t="str">
            <v>Tipo de raquelete</v>
          </cell>
          <cell r="H783" t="str">
            <v xml:space="preserve"> --&gt; hungarian ?</v>
          </cell>
          <cell r="J783" t="str">
            <v xml:space="preserve"> </v>
          </cell>
        </row>
        <row r="784">
          <cell r="A784">
            <v>783</v>
          </cell>
          <cell r="B784" t="str">
            <v>Orientation racle axe X</v>
          </cell>
          <cell r="C784" t="str">
            <v>X axis orientation scraping</v>
          </cell>
          <cell r="D784" t="str">
            <v>Kierunek rakli oś X</v>
          </cell>
          <cell r="E784" t="str">
            <v>Orientarea racletei pe axa X</v>
          </cell>
          <cell r="F784" t="str">
            <v>Orientación rasqueta eje X</v>
          </cell>
          <cell r="G784" t="str">
            <v>Orientação da raquelete no eixo X</v>
          </cell>
          <cell r="H784" t="str">
            <v xml:space="preserve"> --&gt; hungarian ?</v>
          </cell>
          <cell r="J784" t="str">
            <v xml:space="preserve"> </v>
          </cell>
        </row>
        <row r="785">
          <cell r="A785">
            <v>784</v>
          </cell>
          <cell r="B785" t="str">
            <v>Orientation racle axe Y</v>
          </cell>
          <cell r="C785" t="str">
            <v>Y axis orientation scraping</v>
          </cell>
          <cell r="D785" t="str">
            <v>Kierunek rakli oś Y</v>
          </cell>
          <cell r="E785" t="str">
            <v>Orientarea racletei pe axa Y</v>
          </cell>
          <cell r="F785" t="str">
            <v>Orientación rasqueta eje Y</v>
          </cell>
          <cell r="G785" t="str">
            <v>Orientação da raquelete no eixo Y</v>
          </cell>
          <cell r="H785" t="str">
            <v xml:space="preserve"> --&gt; hungarian ?</v>
          </cell>
          <cell r="J785" t="str">
            <v xml:space="preserve"> </v>
          </cell>
        </row>
        <row r="786">
          <cell r="A786">
            <v>785</v>
          </cell>
          <cell r="B786" t="str">
            <v>RACLAGE</v>
          </cell>
          <cell r="C786" t="str">
            <v>SCRAPING</v>
          </cell>
          <cell r="E786" t="str">
            <v>Razuire</v>
          </cell>
          <cell r="F786" t="str">
            <v>RASQUETEADO</v>
          </cell>
          <cell r="G786" t="str">
            <v>RASPAGEM</v>
          </cell>
          <cell r="H786" t="str">
            <v xml:space="preserve"> --&gt; hungarian ?</v>
          </cell>
          <cell r="J786" t="str">
            <v xml:space="preserve"> </v>
          </cell>
        </row>
        <row r="787">
          <cell r="A787">
            <v>786</v>
          </cell>
          <cell r="B787" t="str">
            <v>Dureté de la racle</v>
          </cell>
          <cell r="C787" t="str">
            <v>Scraping tool hardness</v>
          </cell>
          <cell r="D787" t="str">
            <v>Twardość rakli</v>
          </cell>
          <cell r="E787" t="str">
            <v>Duritatea racletei</v>
          </cell>
          <cell r="F787" t="str">
            <v>Dureza de la rasqueta</v>
          </cell>
          <cell r="G787" t="str">
            <v>Dureza da raquelete</v>
          </cell>
          <cell r="H787" t="str">
            <v xml:space="preserve"> --&gt; hungarian ?</v>
          </cell>
          <cell r="J787" t="str">
            <v xml:space="preserve"> </v>
          </cell>
        </row>
        <row r="788">
          <cell r="A788">
            <v>787</v>
          </cell>
          <cell r="B788" t="str">
            <v>Droit / biseauté</v>
          </cell>
          <cell r="C788" t="str">
            <v>Angle 90° / Bevelled</v>
          </cell>
          <cell r="D788" t="str">
            <v>Kąt prosty / fazowane</v>
          </cell>
          <cell r="E788" t="str">
            <v>Unghi drept/ascutit</v>
          </cell>
          <cell r="F788" t="str">
            <v>Recto / Embisel</v>
          </cell>
          <cell r="G788" t="str">
            <v>Direito / chanfrado</v>
          </cell>
          <cell r="H788" t="str">
            <v xml:space="preserve"> --&gt; hungarian ?</v>
          </cell>
          <cell r="J788" t="str">
            <v xml:space="preserve"> </v>
          </cell>
        </row>
        <row r="789">
          <cell r="A789">
            <v>788</v>
          </cell>
          <cell r="B789" t="str">
            <v>Fournisseur encre</v>
          </cell>
          <cell r="C789" t="str">
            <v>Ink supplier</v>
          </cell>
          <cell r="D789" t="str">
            <v>Dostawca tuszu</v>
          </cell>
          <cell r="E789" t="str">
            <v>Furnizor de cerneala</v>
          </cell>
          <cell r="F789" t="str">
            <v>Suministrador tinta</v>
          </cell>
          <cell r="G789" t="str">
            <v>Fornecedor da Tinta</v>
          </cell>
          <cell r="H789" t="str">
            <v>Ink beszállítói</v>
          </cell>
          <cell r="J789" t="str">
            <v xml:space="preserve"> </v>
          </cell>
        </row>
        <row r="790">
          <cell r="A790">
            <v>789</v>
          </cell>
          <cell r="B790" t="str">
            <v>ENCRE</v>
          </cell>
          <cell r="C790" t="str">
            <v>INK</v>
          </cell>
          <cell r="D790" t="str">
            <v>TUSZ</v>
          </cell>
          <cell r="E790" t="str">
            <v xml:space="preserve">CERNEALA </v>
          </cell>
          <cell r="F790" t="str">
            <v>TINTA</v>
          </cell>
          <cell r="G790" t="str">
            <v>TINTA</v>
          </cell>
          <cell r="H790" t="str">
            <v xml:space="preserve"> --&gt; hungarian ?</v>
          </cell>
          <cell r="J790" t="str">
            <v xml:space="preserve"> </v>
          </cell>
        </row>
        <row r="791">
          <cell r="A791">
            <v>790</v>
          </cell>
          <cell r="B791" t="str">
            <v>Dimensions de la racle</v>
          </cell>
          <cell r="C791" t="str">
            <v>Scraping tool dimensions</v>
          </cell>
          <cell r="D791" t="str">
            <v>Wymiary narzędzia</v>
          </cell>
          <cell r="E791" t="str">
            <v>Dimensiunile instrumentului de razuit</v>
          </cell>
          <cell r="F791" t="str">
            <v>Dimensiones rasqueta</v>
          </cell>
          <cell r="G791" t="str">
            <v>Dimensões da raquelete</v>
          </cell>
          <cell r="H791" t="str">
            <v xml:space="preserve"> --&gt; hungarian ?</v>
          </cell>
          <cell r="J791" t="str">
            <v xml:space="preserve"> </v>
          </cell>
        </row>
        <row r="792">
          <cell r="A792">
            <v>791</v>
          </cell>
          <cell r="B792" t="str">
            <v>Pression racle</v>
          </cell>
          <cell r="C792" t="str">
            <v>Scraping pressure</v>
          </cell>
          <cell r="D792" t="str">
            <v>Ciśnienie odrzutu</v>
          </cell>
          <cell r="E792" t="str">
            <v>Presiunea racletei</v>
          </cell>
          <cell r="F792" t="str">
            <v>Presión rasqueta</v>
          </cell>
          <cell r="G792" t="str">
            <v>Pressão da raquelete</v>
          </cell>
          <cell r="H792" t="str">
            <v>Scraping nyomás</v>
          </cell>
          <cell r="J792" t="str">
            <v xml:space="preserve"> </v>
          </cell>
        </row>
        <row r="793">
          <cell r="A793">
            <v>792</v>
          </cell>
          <cell r="B793" t="str">
            <v>N° support pièce</v>
          </cell>
          <cell r="C793" t="str">
            <v>Part support nbr</v>
          </cell>
          <cell r="D793" t="str">
            <v xml:space="preserve">Nr wspornika </v>
          </cell>
          <cell r="E793" t="str">
            <v>Nr. piesei suport</v>
          </cell>
          <cell r="F793" t="str">
            <v>N° soporte pieza</v>
          </cell>
          <cell r="G793" t="str">
            <v>Nº do suporte da peça</v>
          </cell>
          <cell r="H793" t="str">
            <v xml:space="preserve"> --&gt; hungarian ?</v>
          </cell>
          <cell r="J793" t="str">
            <v xml:space="preserve"> </v>
          </cell>
        </row>
        <row r="794">
          <cell r="A794">
            <v>793</v>
          </cell>
          <cell r="B794" t="str">
            <v>Vitesse du four UV</v>
          </cell>
          <cell r="C794" t="str">
            <v>UV oven speed</v>
          </cell>
          <cell r="D794" t="str">
            <v>Prędkośc pieca UV</v>
          </cell>
          <cell r="E794" t="str">
            <v>Viteza cuptorului cu UV</v>
          </cell>
          <cell r="F794" t="str">
            <v>Velocidad de horno UV</v>
          </cell>
          <cell r="G794" t="str">
            <v>Velocidade do Forno UV</v>
          </cell>
          <cell r="H794" t="str">
            <v xml:space="preserve"> --&gt; hungarian ?</v>
          </cell>
          <cell r="J794" t="str">
            <v xml:space="preserve"> </v>
          </cell>
        </row>
        <row r="795">
          <cell r="A795">
            <v>794</v>
          </cell>
          <cell r="B795" t="str">
            <v>Position dégagement</v>
          </cell>
          <cell r="C795" t="str">
            <v>Clearance localisation</v>
          </cell>
          <cell r="D795" t="str">
            <v>Pozycja uwolnienia</v>
          </cell>
          <cell r="E795" t="str">
            <v>Pozitia de eliberare</v>
          </cell>
          <cell r="F795" t="str">
            <v>Posicionamento despeje</v>
          </cell>
          <cell r="G795" t="str">
            <v>Posição de saida</v>
          </cell>
          <cell r="H795" t="str">
            <v xml:space="preserve"> --&gt; hungarian ?</v>
          </cell>
          <cell r="J795" t="str">
            <v xml:space="preserve"> </v>
          </cell>
        </row>
        <row r="796">
          <cell r="A796">
            <v>795</v>
          </cell>
          <cell r="B796" t="str">
            <v>Hors contact</v>
          </cell>
          <cell r="C796" t="str">
            <v>Off contact</v>
          </cell>
          <cell r="D796" t="str">
            <v>Poza zasięgiem</v>
          </cell>
          <cell r="E796" t="str">
            <v>Fara contact</v>
          </cell>
          <cell r="F796" t="str">
            <v>Fuera de contacto</v>
          </cell>
          <cell r="G796" t="str">
            <v>Sem contacto</v>
          </cell>
          <cell r="H796" t="str">
            <v xml:space="preserve"> --&gt; hungarian ?</v>
          </cell>
          <cell r="J796" t="str">
            <v xml:space="preserve"> </v>
          </cell>
        </row>
        <row r="797">
          <cell r="A797">
            <v>796</v>
          </cell>
          <cell r="B797" t="str">
            <v>Vitesse d'impression</v>
          </cell>
          <cell r="C797" t="str">
            <v>Print speed</v>
          </cell>
          <cell r="D797" t="str">
            <v>Prędkość drukowania</v>
          </cell>
          <cell r="E797" t="str">
            <v>Viteza de imprimare</v>
          </cell>
          <cell r="F797" t="str">
            <v>Velocidad estampado</v>
          </cell>
          <cell r="G797" t="str">
            <v>Velocidade de Impressão</v>
          </cell>
          <cell r="H797" t="str">
            <v xml:space="preserve"> --&gt; hungarian ?</v>
          </cell>
          <cell r="J797" t="str">
            <v xml:space="preserve"> </v>
          </cell>
        </row>
        <row r="798">
          <cell r="A798">
            <v>797</v>
          </cell>
          <cell r="B798" t="str">
            <v>Course racle</v>
          </cell>
          <cell r="C798" t="str">
            <v>Scraping stroke</v>
          </cell>
          <cell r="D798" t="str">
            <v>Zakres rakli</v>
          </cell>
          <cell r="E798" t="str">
            <v>Cursa racletei</v>
          </cell>
          <cell r="F798" t="str">
            <v>Carrera rasqueteado</v>
          </cell>
          <cell r="G798" t="str">
            <v>Curso da raquelete</v>
          </cell>
          <cell r="H798" t="str">
            <v xml:space="preserve"> --&gt; hungarian ?</v>
          </cell>
          <cell r="J798" t="str">
            <v xml:space="preserve"> </v>
          </cell>
        </row>
        <row r="799">
          <cell r="A799">
            <v>798</v>
          </cell>
          <cell r="B799" t="str">
            <v>Course descente racle</v>
          </cell>
          <cell r="C799" t="str">
            <v>Scraping stroke down</v>
          </cell>
          <cell r="D799" t="str">
            <v>Droga dolna rakli</v>
          </cell>
          <cell r="E799" t="str">
            <v>Cursa coborare racleta</v>
          </cell>
          <cell r="F799" t="str">
            <v>Carrera descenso rasqueteado</v>
          </cell>
          <cell r="G799" t="str">
            <v>Curso descendente da raquelete</v>
          </cell>
          <cell r="H799" t="str">
            <v xml:space="preserve"> --&gt; hungarian ?</v>
          </cell>
          <cell r="J799" t="str">
            <v xml:space="preserve"> </v>
          </cell>
        </row>
        <row r="800">
          <cell r="A800">
            <v>799</v>
          </cell>
          <cell r="B800" t="str">
            <v>Cote butée droite</v>
          </cell>
          <cell r="C800" t="str">
            <v>Right stop stroke</v>
          </cell>
          <cell r="D800" t="str">
            <v xml:space="preserve"> --&gt; polish ?</v>
          </cell>
          <cell r="E800" t="str">
            <v>Oprire in dreapta a racletei</v>
          </cell>
          <cell r="F800" t="str">
            <v>Lado del tope de la derecha</v>
          </cell>
          <cell r="G800" t="str">
            <v>Cota máxima direita</v>
          </cell>
          <cell r="H800" t="str">
            <v xml:space="preserve"> --&gt; hungarian ?</v>
          </cell>
          <cell r="J800" t="str">
            <v xml:space="preserve"> </v>
          </cell>
        </row>
        <row r="801">
          <cell r="A801">
            <v>800</v>
          </cell>
          <cell r="B801" t="str">
            <v>Cote butée gauche</v>
          </cell>
          <cell r="C801" t="str">
            <v>Left stop stroke</v>
          </cell>
          <cell r="D801" t="str">
            <v xml:space="preserve"> --&gt; polish ?</v>
          </cell>
          <cell r="E801" t="str">
            <v>Oprire in stanga a racletei</v>
          </cell>
          <cell r="F801" t="str">
            <v>Lado del tope de la izquirda</v>
          </cell>
          <cell r="G801" t="str">
            <v>Cota máxima esquerda</v>
          </cell>
          <cell r="H801" t="str">
            <v xml:space="preserve"> --&gt; hungarian ?</v>
          </cell>
          <cell r="J801" t="str">
            <v xml:space="preserve"> </v>
          </cell>
        </row>
        <row r="802">
          <cell r="A802">
            <v>801</v>
          </cell>
          <cell r="B802" t="str">
            <v>Orientation racle</v>
          </cell>
          <cell r="C802" t="str">
            <v>Scrap orientation</v>
          </cell>
          <cell r="E802" t="str">
            <v>Orientarea racletei</v>
          </cell>
          <cell r="F802" t="str">
            <v>Orientación rasqueta</v>
          </cell>
          <cell r="G802" t="str">
            <v>Orientação da raquelete</v>
          </cell>
          <cell r="H802" t="str">
            <v xml:space="preserve"> --&gt; hungarian ?</v>
          </cell>
          <cell r="J802" t="str">
            <v xml:space="preserve"> </v>
          </cell>
        </row>
        <row r="803">
          <cell r="A803">
            <v>802</v>
          </cell>
          <cell r="B803" t="str">
            <v>Position support cadre</v>
          </cell>
          <cell r="C803" t="str">
            <v>Frame support localisation</v>
          </cell>
          <cell r="D803" t="str">
            <v>Lokalizacja wsparcia ramy</v>
          </cell>
          <cell r="E803" t="str">
            <v>Pozitia suportului de cadru</v>
          </cell>
          <cell r="F803" t="str">
            <v>Posición del soporte cuadro</v>
          </cell>
          <cell r="G803" t="str">
            <v>Posição do suporte do quadro</v>
          </cell>
          <cell r="H803" t="str">
            <v xml:space="preserve"> --&gt; hungarian ?</v>
          </cell>
          <cell r="J803" t="str">
            <v xml:space="preserve"> </v>
          </cell>
        </row>
        <row r="804">
          <cell r="A804">
            <v>803</v>
          </cell>
          <cell r="B804" t="str">
            <v>Position support pièce</v>
          </cell>
          <cell r="C804" t="str">
            <v>Part support localisation</v>
          </cell>
          <cell r="D804" t="str">
            <v>Lokalizacja wsparcia detalu</v>
          </cell>
          <cell r="E804" t="str">
            <v>Pozitia suportului piesei</v>
          </cell>
          <cell r="F804" t="str">
            <v>Posición del soporte pieza</v>
          </cell>
          <cell r="G804" t="str">
            <v>Posição do suporte da peça</v>
          </cell>
          <cell r="H804" t="str">
            <v xml:space="preserve"> --&gt; hungarian ?</v>
          </cell>
          <cell r="J804" t="str">
            <v xml:space="preserve"> </v>
          </cell>
        </row>
        <row r="805">
          <cell r="A805">
            <v>804</v>
          </cell>
          <cell r="B805" t="str">
            <v>Réglage chariot</v>
          </cell>
          <cell r="C805" t="str">
            <v>Carriage settings</v>
          </cell>
          <cell r="D805" t="str">
            <v>Ustawienia wózka</v>
          </cell>
          <cell r="E805" t="str">
            <v>Reglarea carului</v>
          </cell>
          <cell r="F805" t="str">
            <v>Ajuste carro</v>
          </cell>
          <cell r="G805" t="str">
            <v>Afinação do carro</v>
          </cell>
          <cell r="H805" t="str">
            <v xml:space="preserve"> --&gt; hungarian ?</v>
          </cell>
          <cell r="J805" t="str">
            <v xml:space="preserve"> </v>
          </cell>
        </row>
        <row r="806">
          <cell r="A806">
            <v>805</v>
          </cell>
          <cell r="B806" t="str">
            <v>Hauteur lampe</v>
          </cell>
          <cell r="C806" t="str">
            <v>Lamp height</v>
          </cell>
          <cell r="D806" t="str">
            <v>Wyskośc lampy</v>
          </cell>
          <cell r="E806" t="str">
            <v>Inaltimea lampei</v>
          </cell>
          <cell r="F806" t="str">
            <v>Altura de la lámpara</v>
          </cell>
          <cell r="G806" t="str">
            <v>Altura da lampada</v>
          </cell>
          <cell r="H806" t="str">
            <v>Lamp magasság</v>
          </cell>
          <cell r="J806" t="str">
            <v xml:space="preserve"> </v>
          </cell>
        </row>
        <row r="807">
          <cell r="A807">
            <v>806</v>
          </cell>
          <cell r="B807" t="str">
            <v>Référence four</v>
          </cell>
          <cell r="C807" t="str">
            <v>Oven reference</v>
          </cell>
          <cell r="D807" t="str">
            <v>Referencja pieca</v>
          </cell>
          <cell r="E807" t="str">
            <v>Referinta cuptorului</v>
          </cell>
          <cell r="F807" t="str">
            <v>Referencia horno</v>
          </cell>
          <cell r="G807" t="str">
            <v>Referencia do forno</v>
          </cell>
          <cell r="H807" t="str">
            <v xml:space="preserve"> --&gt; hungarian ?</v>
          </cell>
          <cell r="J807" t="str">
            <v xml:space="preserve"> </v>
          </cell>
        </row>
        <row r="808">
          <cell r="A808">
            <v>807</v>
          </cell>
          <cell r="B808" t="str">
            <v>Puissance du four</v>
          </cell>
          <cell r="C808" t="str">
            <v>Oven power</v>
          </cell>
          <cell r="D808" t="str">
            <v>Wydajnośc pieca</v>
          </cell>
          <cell r="E808" t="str">
            <v>Puterea cuptorului</v>
          </cell>
          <cell r="F808" t="str">
            <v>Potencia de horno</v>
          </cell>
          <cell r="G808" t="str">
            <v>Potencia do forno</v>
          </cell>
          <cell r="H808" t="str">
            <v xml:space="preserve"> --&gt; hungarian ?</v>
          </cell>
          <cell r="J808" t="str">
            <v xml:space="preserve"> </v>
          </cell>
        </row>
        <row r="809">
          <cell r="A809">
            <v>808</v>
          </cell>
          <cell r="J809" t="str">
            <v xml:space="preserve"> </v>
          </cell>
        </row>
        <row r="810">
          <cell r="A810">
            <v>809</v>
          </cell>
          <cell r="J810" t="str">
            <v xml:space="preserve"> </v>
          </cell>
        </row>
        <row r="811">
          <cell r="A811">
            <v>810</v>
          </cell>
          <cell r="B811" t="str">
            <v>FICHE DE REGLAGE (type) MARQUAGE A CHAUD</v>
          </cell>
          <cell r="C811" t="str">
            <v>Adjustment sheet (Type) HOT STAMPING</v>
          </cell>
          <cell r="D811" t="str">
            <v xml:space="preserve">KARTA NASTAW PARAMETRÓW DRUKOWANIE NA GORĄCO (Ogólna) </v>
          </cell>
          <cell r="E811" t="str">
            <v>FISA DE REGLARE (Tip) MARCAJ LA CALD</v>
          </cell>
          <cell r="F811" t="str">
            <v>FICHA DE AJUSTE (Tipo) MARCADO EN CALIENTE</v>
          </cell>
          <cell r="G811" t="str">
            <v>FICHA TÉCNICA  HOT STAMPING</v>
          </cell>
          <cell r="H811" t="str">
            <v>TECHNOLÓGIAI LAP (típusonként) : HOT STAMPING</v>
          </cell>
          <cell r="J811" t="str">
            <v xml:space="preserve"> </v>
          </cell>
        </row>
        <row r="812">
          <cell r="A812">
            <v>811</v>
          </cell>
          <cell r="B812" t="str">
            <v>Fournisseur film</v>
          </cell>
          <cell r="C812" t="str">
            <v>Film supplier</v>
          </cell>
          <cell r="D812" t="str">
            <v>Dostawca folii</v>
          </cell>
          <cell r="E812" t="str">
            <v>Furnizorul de film</v>
          </cell>
          <cell r="F812" t="str">
            <v>Suministrador film</v>
          </cell>
          <cell r="G812" t="str">
            <v>Fornecedor da fita</v>
          </cell>
          <cell r="H812" t="str">
            <v>Film beszállítói</v>
          </cell>
          <cell r="J812" t="str">
            <v xml:space="preserve"> </v>
          </cell>
        </row>
        <row r="813">
          <cell r="A813">
            <v>812</v>
          </cell>
          <cell r="B813" t="str">
            <v>Référence film</v>
          </cell>
          <cell r="C813" t="str">
            <v>Film reference</v>
          </cell>
          <cell r="D813" t="str">
            <v>Referencja folii</v>
          </cell>
          <cell r="E813" t="str">
            <v>Referinta filmului</v>
          </cell>
          <cell r="F813" t="str">
            <v>Referencia film</v>
          </cell>
          <cell r="G813" t="str">
            <v>Referência da fita</v>
          </cell>
          <cell r="H813" t="str">
            <v xml:space="preserve"> --&gt; hungarian ?</v>
          </cell>
          <cell r="J813" t="str">
            <v xml:space="preserve"> </v>
          </cell>
        </row>
        <row r="814">
          <cell r="A814">
            <v>813</v>
          </cell>
          <cell r="B814" t="str">
            <v>Pression d'application</v>
          </cell>
          <cell r="C814" t="str">
            <v>Application pressure</v>
          </cell>
          <cell r="D814" t="str">
            <v>Ciśnienie robocze</v>
          </cell>
          <cell r="E814" t="str">
            <v>Presiunea de aplicare</v>
          </cell>
          <cell r="F814" t="str">
            <v>Presión de aplicación</v>
          </cell>
          <cell r="G814" t="str">
            <v>Pressão de aplicação</v>
          </cell>
          <cell r="H814" t="str">
            <v>Application nyomás</v>
          </cell>
          <cell r="J814" t="str">
            <v xml:space="preserve"> </v>
          </cell>
        </row>
        <row r="815">
          <cell r="A815">
            <v>814</v>
          </cell>
          <cell r="B815" t="str">
            <v>Pression de déroulement film</v>
          </cell>
          <cell r="C815" t="str">
            <v>Film roll out pressure</v>
          </cell>
          <cell r="D815" t="str">
            <v>Ciśnienie rozwijania folii</v>
          </cell>
          <cell r="E815" t="str">
            <v>Presiunea de derulare a filmului</v>
          </cell>
          <cell r="F815" t="str">
            <v>Presión de desenrollado</v>
          </cell>
          <cell r="G815" t="str">
            <v>Pressão de desenrolamento da fita</v>
          </cell>
          <cell r="H815" t="str">
            <v>Film roll out nyomás</v>
          </cell>
          <cell r="J815" t="str">
            <v xml:space="preserve"> </v>
          </cell>
        </row>
        <row r="816">
          <cell r="A816">
            <v>815</v>
          </cell>
          <cell r="B816" t="str">
            <v>Pas de déroulement film</v>
          </cell>
          <cell r="C816" t="str">
            <v>Film roll out step</v>
          </cell>
          <cell r="D816" t="str">
            <v>Brak rozwinięcia folii</v>
          </cell>
          <cell r="E816" t="str">
            <v>Pasul de derulare al filmului</v>
          </cell>
          <cell r="F816" t="str">
            <v>Sin desenrolado film</v>
          </cell>
          <cell r="G816" t="str">
            <v>Sem desenrolamento da fita</v>
          </cell>
          <cell r="H816" t="str">
            <v xml:space="preserve"> --&gt; hungarian ?</v>
          </cell>
          <cell r="J816" t="str">
            <v xml:space="preserve"> </v>
          </cell>
        </row>
        <row r="817">
          <cell r="A817">
            <v>816</v>
          </cell>
          <cell r="B817" t="str">
            <v>Vitesse de déroulement film</v>
          </cell>
          <cell r="C817" t="str">
            <v>Film roll out speed</v>
          </cell>
          <cell r="D817" t="str">
            <v>Szybkość rozwijania folii</v>
          </cell>
          <cell r="E817" t="str">
            <v>Viteza de derulare a filmului</v>
          </cell>
          <cell r="F817" t="str">
            <v>Velocidad de desenrollado</v>
          </cell>
          <cell r="G817" t="str">
            <v>Velocidade de desenrolamento da fita</v>
          </cell>
          <cell r="H817" t="str">
            <v xml:space="preserve"> --&gt; hungarian ?</v>
          </cell>
          <cell r="J817" t="str">
            <v xml:space="preserve"> </v>
          </cell>
        </row>
        <row r="818">
          <cell r="A818">
            <v>817</v>
          </cell>
          <cell r="B818" t="str">
            <v>Pression de montée</v>
          </cell>
          <cell r="C818" t="str">
            <v>Going up pressure</v>
          </cell>
          <cell r="D818" t="str">
            <v>Wzrost ciśnienia</v>
          </cell>
          <cell r="E818" t="str">
            <v>Presiunea de urcare</v>
          </cell>
          <cell r="F818" t="str">
            <v>Presión de subida</v>
          </cell>
          <cell r="G818" t="str">
            <v>Pressão de subida</v>
          </cell>
          <cell r="H818" t="str">
            <v>Going up nyomás</v>
          </cell>
          <cell r="J818" t="str">
            <v xml:space="preserve"> </v>
          </cell>
        </row>
        <row r="819">
          <cell r="A819">
            <v>818</v>
          </cell>
          <cell r="B819" t="str">
            <v>Temporisation sortie table</v>
          </cell>
          <cell r="C819" t="str">
            <v>Table return time out</v>
          </cell>
          <cell r="D819" t="str">
            <v xml:space="preserve"> --&gt; polish ?</v>
          </cell>
          <cell r="E819" t="str">
            <v xml:space="preserve">Temporizarea tablei de iesire </v>
          </cell>
          <cell r="F819" t="str">
            <v>Temporización salida tabla</v>
          </cell>
          <cell r="G819" t="str">
            <v>Temporização de saida da mesa.</v>
          </cell>
          <cell r="H819" t="str">
            <v xml:space="preserve"> --&gt; hungarian ?</v>
          </cell>
          <cell r="J819" t="str">
            <v xml:space="preserve"> </v>
          </cell>
        </row>
        <row r="820">
          <cell r="A820">
            <v>819</v>
          </cell>
          <cell r="B820" t="str">
            <v>Fournisseur poinçon</v>
          </cell>
          <cell r="C820" t="str">
            <v>Punch supplier</v>
          </cell>
          <cell r="D820" t="str">
            <v>Dostawca stempla</v>
          </cell>
          <cell r="E820" t="str">
            <v>Furnizor poanson</v>
          </cell>
          <cell r="F820" t="str">
            <v>Suministrador punzón</v>
          </cell>
          <cell r="G820" t="str">
            <v>Fornecedor do cunho</v>
          </cell>
          <cell r="H820" t="str">
            <v>Punch beszállítói</v>
          </cell>
          <cell r="J820" t="str">
            <v xml:space="preserve"> </v>
          </cell>
        </row>
        <row r="821">
          <cell r="A821">
            <v>820</v>
          </cell>
          <cell r="B821" t="str">
            <v>Reference poinçon</v>
          </cell>
          <cell r="C821" t="str">
            <v>Punch reference</v>
          </cell>
          <cell r="D821" t="str">
            <v>Referencja stempla</v>
          </cell>
          <cell r="E821" t="str">
            <v>Referinta poanson</v>
          </cell>
          <cell r="F821" t="str">
            <v>Referencia punzón</v>
          </cell>
          <cell r="G821" t="str">
            <v>Referencia do cunho</v>
          </cell>
          <cell r="H821" t="str">
            <v xml:space="preserve"> --&gt; hungarian ?</v>
          </cell>
          <cell r="J821" t="str">
            <v xml:space="preserve"> </v>
          </cell>
        </row>
        <row r="822">
          <cell r="A822">
            <v>821</v>
          </cell>
          <cell r="B822" t="str">
            <v>Type de poinçon</v>
          </cell>
          <cell r="C822" t="str">
            <v>Punch type</v>
          </cell>
          <cell r="D822" t="str">
            <v>Rodzaj stempla</v>
          </cell>
          <cell r="E822" t="str">
            <v>Tip de poanson</v>
          </cell>
          <cell r="F822" t="str">
            <v>Tipo punzón</v>
          </cell>
          <cell r="G822" t="str">
            <v>Tipo de cunho</v>
          </cell>
          <cell r="H822" t="str">
            <v xml:space="preserve"> --&gt; hungarian ?</v>
          </cell>
          <cell r="J822" t="str">
            <v xml:space="preserve"> </v>
          </cell>
        </row>
        <row r="823">
          <cell r="A823">
            <v>822</v>
          </cell>
          <cell r="J823" t="str">
            <v xml:space="preserve"> </v>
          </cell>
        </row>
        <row r="824">
          <cell r="A824">
            <v>823</v>
          </cell>
          <cell r="B824" t="str">
            <v>FICHE DE REGLAGE SPECIFIQUE INDUCTION</v>
          </cell>
          <cell r="C824" t="str">
            <v>Specific Adjustment sheet INDUCTION</v>
          </cell>
          <cell r="D824" t="str">
            <v xml:space="preserve"> --&gt; polish ?</v>
          </cell>
          <cell r="J824" t="str">
            <v xml:space="preserve"> </v>
          </cell>
        </row>
        <row r="825">
          <cell r="A825">
            <v>824</v>
          </cell>
          <cell r="B825" t="str">
            <v>Amenées compensées refroidies</v>
          </cell>
          <cell r="C825" t="str">
            <v>Cold offset wirings</v>
          </cell>
          <cell r="D825" t="str">
            <v xml:space="preserve"> --&gt; polish ?</v>
          </cell>
          <cell r="J825" t="str">
            <v xml:space="preserve"> </v>
          </cell>
        </row>
        <row r="826">
          <cell r="A826">
            <v>825</v>
          </cell>
          <cell r="B826" t="str">
            <v>Amenées  souples non refroidies</v>
          </cell>
          <cell r="C826" t="str">
            <v>Not cold flexible wirings</v>
          </cell>
          <cell r="D826" t="str">
            <v xml:space="preserve"> --&gt; polish ?</v>
          </cell>
          <cell r="J826" t="str">
            <v xml:space="preserve"> </v>
          </cell>
        </row>
        <row r="827">
          <cell r="A827">
            <v>826</v>
          </cell>
          <cell r="B827" t="str">
            <v>Réglages pupitre</v>
          </cell>
          <cell r="C827" t="str">
            <v>Control panel settings</v>
          </cell>
          <cell r="D827" t="str">
            <v xml:space="preserve"> --&gt; polish ?</v>
          </cell>
          <cell r="J827" t="str">
            <v xml:space="preserve"> </v>
          </cell>
        </row>
        <row r="828">
          <cell r="A828">
            <v>827</v>
          </cell>
          <cell r="B828" t="str">
            <v>Tempo initiale</v>
          </cell>
          <cell r="C828" t="str">
            <v>Initial delaying</v>
          </cell>
          <cell r="D828" t="str">
            <v xml:space="preserve"> --&gt; polish ?</v>
          </cell>
          <cell r="J828" t="str">
            <v xml:space="preserve"> </v>
          </cell>
        </row>
        <row r="829">
          <cell r="A829">
            <v>828</v>
          </cell>
          <cell r="B829" t="str">
            <v>Tps chauffe</v>
          </cell>
          <cell r="C829" t="str">
            <v>Heating time</v>
          </cell>
          <cell r="D829" t="str">
            <v xml:space="preserve"> --&gt; polish ?</v>
          </cell>
          <cell r="J829" t="str">
            <v xml:space="preserve"> </v>
          </cell>
        </row>
        <row r="830">
          <cell r="A830">
            <v>829</v>
          </cell>
          <cell r="B830" t="str">
            <v>Tps résultant</v>
          </cell>
          <cell r="C830" t="str">
            <v>Ensuing time</v>
          </cell>
          <cell r="D830" t="str">
            <v xml:space="preserve"> --&gt; polish ?</v>
          </cell>
          <cell r="J830" t="str">
            <v xml:space="preserve"> </v>
          </cell>
        </row>
        <row r="831">
          <cell r="A831">
            <v>830</v>
          </cell>
          <cell r="B831" t="str">
            <v>T°C mini</v>
          </cell>
          <cell r="C831" t="str">
            <v>Mini T°C</v>
          </cell>
          <cell r="D831" t="str">
            <v xml:space="preserve"> --&gt; polish ?</v>
          </cell>
          <cell r="J831" t="str">
            <v xml:space="preserve"> </v>
          </cell>
        </row>
        <row r="832">
          <cell r="A832">
            <v>831</v>
          </cell>
          <cell r="B832" t="str">
            <v>T°C maxi</v>
          </cell>
          <cell r="C832" t="str">
            <v>Maxi T°C</v>
          </cell>
          <cell r="D832" t="str">
            <v xml:space="preserve"> --&gt; polish ?</v>
          </cell>
          <cell r="J832" t="str">
            <v xml:space="preserve"> </v>
          </cell>
        </row>
        <row r="833">
          <cell r="A833">
            <v>832</v>
          </cell>
          <cell r="B833" t="str">
            <v>Réglage presse</v>
          </cell>
          <cell r="C833" t="str">
            <v>Press settings</v>
          </cell>
          <cell r="D833" t="str">
            <v xml:space="preserve"> --&gt; polish ?</v>
          </cell>
          <cell r="J833" t="str">
            <v xml:space="preserve"> </v>
          </cell>
        </row>
        <row r="834">
          <cell r="A834">
            <v>833</v>
          </cell>
          <cell r="B834" t="str">
            <v>Entre cycle</v>
          </cell>
          <cell r="C834" t="str">
            <v>Inter cycle</v>
          </cell>
          <cell r="D834" t="str">
            <v xml:space="preserve"> --&gt; polish ?</v>
          </cell>
          <cell r="J834" t="str">
            <v xml:space="preserve"> </v>
          </cell>
        </row>
        <row r="835">
          <cell r="A835">
            <v>834</v>
          </cell>
          <cell r="B835" t="str">
            <v>Réglages Coffret Capa</v>
          </cell>
          <cell r="C835" t="str">
            <v>Capacity Box settings</v>
          </cell>
          <cell r="D835" t="str">
            <v xml:space="preserve"> --&gt; polish ?</v>
          </cell>
          <cell r="J835" t="str">
            <v xml:space="preserve"> </v>
          </cell>
        </row>
        <row r="836">
          <cell r="A836">
            <v>835</v>
          </cell>
          <cell r="B836" t="str">
            <v>Valeur capa</v>
          </cell>
          <cell r="C836" t="str">
            <v>Capa value</v>
          </cell>
          <cell r="D836" t="str">
            <v xml:space="preserve"> --&gt; polish ?</v>
          </cell>
          <cell r="J836" t="str">
            <v xml:space="preserve"> </v>
          </cell>
        </row>
        <row r="837">
          <cell r="A837">
            <v>836</v>
          </cell>
          <cell r="B837" t="str">
            <v>Valeur transformateur</v>
          </cell>
          <cell r="C837" t="str">
            <v>Transformer value</v>
          </cell>
          <cell r="D837" t="str">
            <v xml:space="preserve"> --&gt; polish ?</v>
          </cell>
          <cell r="J837" t="str">
            <v xml:space="preserve"> </v>
          </cell>
        </row>
        <row r="838">
          <cell r="A838">
            <v>837</v>
          </cell>
          <cell r="B838" t="str">
            <v>Primaire</v>
          </cell>
          <cell r="C838" t="str">
            <v>Primary</v>
          </cell>
          <cell r="D838" t="str">
            <v xml:space="preserve"> --&gt; polish ?</v>
          </cell>
          <cell r="J838" t="str">
            <v xml:space="preserve"> </v>
          </cell>
        </row>
        <row r="839">
          <cell r="A839">
            <v>838</v>
          </cell>
          <cell r="B839" t="str">
            <v>Secondaire</v>
          </cell>
          <cell r="C839" t="str">
            <v>Secondary</v>
          </cell>
          <cell r="D839" t="str">
            <v xml:space="preserve"> --&gt; polish ?</v>
          </cell>
          <cell r="J839" t="str">
            <v xml:space="preserve"> </v>
          </cell>
        </row>
        <row r="840">
          <cell r="A840">
            <v>839</v>
          </cell>
          <cell r="B840" t="str">
            <v>Ratio</v>
          </cell>
          <cell r="C840" t="str">
            <v>Ratio</v>
          </cell>
          <cell r="D840" t="str">
            <v xml:space="preserve"> --&gt; polish ?</v>
          </cell>
          <cell r="J840" t="str">
            <v xml:space="preserve"> </v>
          </cell>
        </row>
        <row r="841">
          <cell r="A841">
            <v>840</v>
          </cell>
          <cell r="B841" t="str">
            <v>Valeurs relevées sur générateur P+100kW</v>
          </cell>
          <cell r="C841" t="str">
            <v>Values red on the generator P+1000kW</v>
          </cell>
          <cell r="D841" t="str">
            <v xml:space="preserve"> --&gt; polish ?</v>
          </cell>
          <cell r="J841" t="str">
            <v xml:space="preserve"> </v>
          </cell>
        </row>
        <row r="842">
          <cell r="A842">
            <v>841</v>
          </cell>
          <cell r="B842" t="str">
            <v>Tension</v>
          </cell>
          <cell r="C842" t="str">
            <v>Voltage</v>
          </cell>
          <cell r="D842" t="str">
            <v xml:space="preserve"> --&gt; polish ?</v>
          </cell>
          <cell r="J842" t="str">
            <v xml:space="preserve"> </v>
          </cell>
        </row>
        <row r="843">
          <cell r="A843">
            <v>842</v>
          </cell>
          <cell r="B843" t="str">
            <v>Intensité</v>
          </cell>
          <cell r="C843" t="str">
            <v>Intensity</v>
          </cell>
          <cell r="D843" t="str">
            <v xml:space="preserve"> --&gt; polish ?</v>
          </cell>
          <cell r="J843" t="str">
            <v xml:space="preserve"> </v>
          </cell>
        </row>
        <row r="844">
          <cell r="A844">
            <v>843</v>
          </cell>
          <cell r="B844" t="str">
            <v>Avant toute intervention se référer à la procédure de démarrage induction.</v>
          </cell>
          <cell r="C844" t="str">
            <v>Before any action, refer to starting Induction procedure.</v>
          </cell>
          <cell r="D844" t="str">
            <v xml:space="preserve"> --&gt; polish ?</v>
          </cell>
          <cell r="J844" t="str">
            <v xml:space="preserve"> </v>
          </cell>
        </row>
        <row r="845">
          <cell r="A845">
            <v>844</v>
          </cell>
          <cell r="B845" t="str">
            <v>Le personnel intervenant sur le système doit être habilité et correctement formé.</v>
          </cell>
          <cell r="C845" t="str">
            <v>Persons involved on the process must be accredited and correctly trained.</v>
          </cell>
          <cell r="D845" t="str">
            <v xml:space="preserve"> --&gt; polish ?</v>
          </cell>
          <cell r="J845" t="str">
            <v xml:space="preserve"> </v>
          </cell>
        </row>
        <row r="846">
          <cell r="A846">
            <v>845</v>
          </cell>
          <cell r="B846" t="str">
            <v>L'utilisation des champs magnétiques peut présenter des risques pour la santé,</v>
          </cell>
          <cell r="C846" t="str">
            <v>Using the magnetic fields can occur health risks,</v>
          </cell>
          <cell r="D846" t="str">
            <v xml:space="preserve"> --&gt; polish ?</v>
          </cell>
          <cell r="J846" t="str">
            <v xml:space="preserve"> </v>
          </cell>
        </row>
        <row r="847">
          <cell r="A847">
            <v>846</v>
          </cell>
          <cell r="B847" t="str">
            <v>Enroulement secondaire</v>
          </cell>
          <cell r="C847" t="str">
            <v>Secondary winding</v>
          </cell>
          <cell r="D847" t="str">
            <v xml:space="preserve"> --&gt; polish ?</v>
          </cell>
          <cell r="J847" t="str">
            <v xml:space="preserve"> </v>
          </cell>
        </row>
        <row r="848">
          <cell r="A848">
            <v>847</v>
          </cell>
          <cell r="B848" t="str">
            <v>Enroulement primaire</v>
          </cell>
          <cell r="C848" t="str">
            <v>Primary winding</v>
          </cell>
          <cell r="D848" t="str">
            <v xml:space="preserve"> --&gt; polish ?</v>
          </cell>
          <cell r="J848" t="str">
            <v xml:space="preserve"> </v>
          </cell>
        </row>
        <row r="849">
          <cell r="A849">
            <v>848</v>
          </cell>
          <cell r="B849" t="str">
            <v>Plot</v>
          </cell>
          <cell r="C849" t="str">
            <v>Plug</v>
          </cell>
          <cell r="D849" t="str">
            <v xml:space="preserve"> --&gt; polish ?</v>
          </cell>
          <cell r="J849" t="str">
            <v xml:space="preserve"> </v>
          </cell>
        </row>
        <row r="850">
          <cell r="A850">
            <v>849</v>
          </cell>
          <cell r="J850" t="str">
            <v xml:space="preserve"> </v>
          </cell>
        </row>
        <row r="851">
          <cell r="A851">
            <v>850</v>
          </cell>
          <cell r="B851" t="str">
            <v>FICHE DE REGLAGE (Type) TAMPOGRAPHIE</v>
          </cell>
          <cell r="C851" t="str">
            <v>Adjustment sheet (Type) PAD PRINTING</v>
          </cell>
          <cell r="D851" t="str">
            <v xml:space="preserve">KARTA NASTAW PARAMETRÓW TAMPONDRUK (Ogólna) </v>
          </cell>
          <cell r="E851" t="str">
            <v>FISA DE REGLARE (Tip) TAMPOGRAFIE</v>
          </cell>
          <cell r="F851" t="str">
            <v>FICHA DE AJUSTE (Tipo) TAMPOGRAFÍA</v>
          </cell>
          <cell r="G851" t="str">
            <v>FICHA TÉCNICA  TAMPOGRAFIA</v>
          </cell>
          <cell r="H851" t="str">
            <v>TECHNOLÓGIAI LAP (típusonként) : PAD PRINTING</v>
          </cell>
          <cell r="I851" t="str">
            <v>nastavenie ( typ ) TAMPOGRAFIA</v>
          </cell>
          <cell r="J851" t="str">
            <v xml:space="preserve"> </v>
          </cell>
        </row>
        <row r="852">
          <cell r="A852">
            <v>851</v>
          </cell>
          <cell r="B852" t="str">
            <v>Nombre d'encriers</v>
          </cell>
          <cell r="C852" t="str">
            <v>Ink Cup quantity</v>
          </cell>
          <cell r="D852" t="str">
            <v>Ilość kałamarzy</v>
          </cell>
          <cell r="E852" t="str">
            <v>Numarul de calimare</v>
          </cell>
          <cell r="F852" t="str">
            <v>Número de tintero</v>
          </cell>
          <cell r="G852" t="str">
            <v>numeros de tinteiros</v>
          </cell>
          <cell r="H852" t="str">
            <v xml:space="preserve"> --&gt; hungarian ?</v>
          </cell>
          <cell r="J852" t="str">
            <v xml:space="preserve"> </v>
          </cell>
        </row>
        <row r="853">
          <cell r="A853">
            <v>852</v>
          </cell>
          <cell r="B853" t="str">
            <v>Type d'encrier</v>
          </cell>
          <cell r="C853" t="str">
            <v>Ink Cup type</v>
          </cell>
          <cell r="D853" t="str">
            <v>Rodzaj kałamarza</v>
          </cell>
          <cell r="E853" t="str">
            <v>Tipul calimarei</v>
          </cell>
          <cell r="F853" t="str">
            <v>Tipo del tintero</v>
          </cell>
          <cell r="G853" t="str">
            <v>tipo de tinteiros</v>
          </cell>
          <cell r="H853" t="str">
            <v xml:space="preserve"> --&gt; hungarian ?</v>
          </cell>
          <cell r="J853" t="str">
            <v xml:space="preserve"> </v>
          </cell>
        </row>
        <row r="854">
          <cell r="A854">
            <v>853</v>
          </cell>
          <cell r="B854" t="str">
            <v>Format d'encrier</v>
          </cell>
          <cell r="C854" t="str">
            <v>Ink Cup format</v>
          </cell>
          <cell r="D854" t="str">
            <v>Format kałamarza</v>
          </cell>
          <cell r="E854" t="str">
            <v>Formatul calimarei</v>
          </cell>
          <cell r="F854" t="str">
            <v>Formato del tintero</v>
          </cell>
          <cell r="G854" t="str">
            <v>formato do tinteiro</v>
          </cell>
          <cell r="H854" t="str">
            <v xml:space="preserve"> --&gt; hungarian ?</v>
          </cell>
          <cell r="J854" t="str">
            <v xml:space="preserve"> </v>
          </cell>
        </row>
        <row r="855">
          <cell r="A855">
            <v>854</v>
          </cell>
          <cell r="B855" t="str">
            <v>Hauteur encrier</v>
          </cell>
          <cell r="C855" t="str">
            <v>Ink Cup height</v>
          </cell>
          <cell r="D855" t="str">
            <v>Wysokość kałamarza</v>
          </cell>
          <cell r="E855" t="str">
            <v>Inaltimea calimarei</v>
          </cell>
          <cell r="F855" t="str">
            <v>Altura del tintero</v>
          </cell>
          <cell r="G855" t="str">
            <v>Altura do tinteiro</v>
          </cell>
          <cell r="H855" t="str">
            <v>Ink cup magasság</v>
          </cell>
          <cell r="J855" t="str">
            <v xml:space="preserve"> </v>
          </cell>
        </row>
        <row r="856">
          <cell r="A856">
            <v>855</v>
          </cell>
          <cell r="B856" t="str">
            <v>Référence cliché</v>
          </cell>
          <cell r="C856" t="str">
            <v>Negative reference</v>
          </cell>
          <cell r="D856" t="str">
            <v>Referencja kliszy</v>
          </cell>
          <cell r="E856" t="str">
            <v>Referinta cliseului</v>
          </cell>
          <cell r="F856" t="str">
            <v>Referencia del cliché</v>
          </cell>
          <cell r="G856" t="str">
            <v>Referencia do Cliché</v>
          </cell>
          <cell r="H856" t="str">
            <v xml:space="preserve"> --&gt; hungarian ?</v>
          </cell>
          <cell r="J856" t="str">
            <v xml:space="preserve"> </v>
          </cell>
        </row>
        <row r="857">
          <cell r="A857">
            <v>856</v>
          </cell>
          <cell r="B857" t="str">
            <v>Format de cliché</v>
          </cell>
          <cell r="C857" t="str">
            <v>Negative format</v>
          </cell>
          <cell r="D857" t="str">
            <v>Format kliszy</v>
          </cell>
          <cell r="E857" t="str">
            <v>Formatul cliseului</v>
          </cell>
          <cell r="F857" t="str">
            <v>Formato del cliché</v>
          </cell>
          <cell r="G857" t="str">
            <v>Geometria do Cliché</v>
          </cell>
          <cell r="H857" t="str">
            <v xml:space="preserve"> --&gt; hungarian ?</v>
          </cell>
          <cell r="J857" t="str">
            <v xml:space="preserve"> </v>
          </cell>
        </row>
        <row r="858">
          <cell r="A858">
            <v>857</v>
          </cell>
          <cell r="B858" t="str">
            <v>Vitesse descente cliché</v>
          </cell>
          <cell r="C858" t="str">
            <v>Negative speed down</v>
          </cell>
          <cell r="D858" t="str">
            <v>Prędkość dolna kliszy</v>
          </cell>
          <cell r="E858" t="str">
            <v>Viteza de coborare a cliseului</v>
          </cell>
          <cell r="F858" t="str">
            <v>velocidad de descenso cliché</v>
          </cell>
          <cell r="G858" t="str">
            <v>Velocidade descendente do cliché</v>
          </cell>
          <cell r="H858" t="str">
            <v xml:space="preserve"> --&gt; hungarian ?</v>
          </cell>
          <cell r="J858" t="str">
            <v xml:space="preserve"> </v>
          </cell>
        </row>
        <row r="859">
          <cell r="A859">
            <v>858</v>
          </cell>
          <cell r="B859" t="str">
            <v>Vitesse remontée cliché</v>
          </cell>
          <cell r="C859" t="str">
            <v>Negative speed up</v>
          </cell>
          <cell r="D859" t="str">
            <v>Prędkość górna kliszy</v>
          </cell>
          <cell r="E859" t="str">
            <v>Viteza de urcare a cliseului</v>
          </cell>
          <cell r="F859" t="str">
            <v>Velocidad de subida cliché</v>
          </cell>
          <cell r="G859" t="str">
            <v>Velocidade ascendente do cliché</v>
          </cell>
          <cell r="H859" t="str">
            <v xml:space="preserve"> --&gt; hungarian ?</v>
          </cell>
          <cell r="J859" t="str">
            <v xml:space="preserve"> </v>
          </cell>
        </row>
        <row r="860">
          <cell r="A860">
            <v>859</v>
          </cell>
          <cell r="B860" t="str">
            <v>Course descente tampon-cliché</v>
          </cell>
          <cell r="C860" t="str">
            <v>Pad-Negative stroke down</v>
          </cell>
          <cell r="D860" t="str">
            <v xml:space="preserve"> --&gt; polish ?</v>
          </cell>
          <cell r="E860" t="str">
            <v>Cursa de coborare a tampon-cliseului</v>
          </cell>
          <cell r="F860" t="str">
            <v>Carrera de descenso tampón-cliché</v>
          </cell>
          <cell r="G860" t="str">
            <v>Curso descendente - Tampão - Cliché</v>
          </cell>
          <cell r="H860" t="str">
            <v xml:space="preserve"> --&gt; hungarian ?</v>
          </cell>
          <cell r="J860" t="str">
            <v xml:space="preserve"> </v>
          </cell>
        </row>
        <row r="861">
          <cell r="A861">
            <v>860</v>
          </cell>
          <cell r="B861" t="str">
            <v>Largeur centre racle</v>
          </cell>
          <cell r="C861" t="str">
            <v>Scraping tool middle width</v>
          </cell>
          <cell r="D861" t="str">
            <v xml:space="preserve"> --&gt; polish ?</v>
          </cell>
          <cell r="E861" t="str">
            <v>Latimea centrului racletei</v>
          </cell>
          <cell r="F861" t="str">
            <v>Anchura centro rasqueta</v>
          </cell>
          <cell r="G861" t="str">
            <v>Largura do centro da raquelete</v>
          </cell>
          <cell r="H861" t="str">
            <v xml:space="preserve"> --&gt; hungarian ?</v>
          </cell>
          <cell r="J861" t="str">
            <v xml:space="preserve"> </v>
          </cell>
        </row>
        <row r="862">
          <cell r="A862">
            <v>861</v>
          </cell>
          <cell r="B862" t="str">
            <v>Largeur contre racle</v>
          </cell>
          <cell r="C862" t="str">
            <v>Second scraping tool width</v>
          </cell>
          <cell r="D862" t="str">
            <v xml:space="preserve"> --&gt; polish ?</v>
          </cell>
          <cell r="E862" t="str">
            <v>Latimea contra-racletei</v>
          </cell>
          <cell r="F862" t="str">
            <v>Anchura contra rasqueta</v>
          </cell>
          <cell r="G862" t="str">
            <v>Largura contra raquelete</v>
          </cell>
          <cell r="H862" t="str">
            <v xml:space="preserve"> --&gt; hungarian ?</v>
          </cell>
          <cell r="J862" t="str">
            <v xml:space="preserve"> </v>
          </cell>
        </row>
        <row r="863">
          <cell r="A863">
            <v>862</v>
          </cell>
          <cell r="B863" t="str">
            <v>Référence tampon</v>
          </cell>
          <cell r="C863" t="str">
            <v>Pad reference</v>
          </cell>
          <cell r="D863" t="str">
            <v>Referencja tamponu</v>
          </cell>
          <cell r="E863" t="str">
            <v>Referinta tamponului</v>
          </cell>
          <cell r="F863" t="str">
            <v>Referencia tampón</v>
          </cell>
          <cell r="G863" t="str">
            <v>Referencia do Tampão.</v>
          </cell>
          <cell r="H863" t="str">
            <v xml:space="preserve"> --&gt; hungarian ?</v>
          </cell>
          <cell r="J863" t="str">
            <v xml:space="preserve"> </v>
          </cell>
        </row>
        <row r="864">
          <cell r="A864">
            <v>863</v>
          </cell>
          <cell r="B864" t="str">
            <v>Fournisseur tampon</v>
          </cell>
          <cell r="C864" t="str">
            <v>Pad supplier</v>
          </cell>
          <cell r="D864" t="str">
            <v>Dostawca tamponu</v>
          </cell>
          <cell r="E864" t="str">
            <v>Furnizorul de tampoane</v>
          </cell>
          <cell r="F864" t="str">
            <v>Suminstrador tampón</v>
          </cell>
          <cell r="G864" t="str">
            <v>Fornecedor do tampão</v>
          </cell>
          <cell r="H864" t="str">
            <v>Pad beszállítói</v>
          </cell>
          <cell r="J864" t="str">
            <v xml:space="preserve"> </v>
          </cell>
        </row>
        <row r="865">
          <cell r="A865">
            <v>864</v>
          </cell>
          <cell r="B865" t="str">
            <v>Vitesse descente tampon</v>
          </cell>
          <cell r="C865" t="str">
            <v>Pad speed down</v>
          </cell>
          <cell r="D865" t="str">
            <v>Prędkość dolna tamponu</v>
          </cell>
          <cell r="E865" t="str">
            <v>Viteza de coborare a tamponului</v>
          </cell>
          <cell r="F865" t="str">
            <v>Velocidad descenso tampón</v>
          </cell>
          <cell r="G865" t="str">
            <v>Velocidade descendente do tampão</v>
          </cell>
          <cell r="H865" t="str">
            <v xml:space="preserve"> --&gt; hungarian ?</v>
          </cell>
          <cell r="J865" t="str">
            <v xml:space="preserve"> </v>
          </cell>
        </row>
        <row r="866">
          <cell r="A866">
            <v>865</v>
          </cell>
          <cell r="B866" t="str">
            <v>Vitesse remontée tampon</v>
          </cell>
          <cell r="C866" t="str">
            <v>Pad speed up</v>
          </cell>
          <cell r="D866" t="str">
            <v>Prędkość górna tamponu</v>
          </cell>
          <cell r="E866" t="str">
            <v>Viteza de ridicare a tamponului</v>
          </cell>
          <cell r="F866" t="str">
            <v>Velocidad subida tampón</v>
          </cell>
          <cell r="G866" t="str">
            <v>Velocidade ascendente do tampão</v>
          </cell>
          <cell r="H866" t="str">
            <v xml:space="preserve"> --&gt; hungarian ?</v>
          </cell>
          <cell r="J866" t="str">
            <v xml:space="preserve"> </v>
          </cell>
        </row>
        <row r="867">
          <cell r="A867">
            <v>866</v>
          </cell>
          <cell r="B867" t="str">
            <v>Vitesse avance tampon</v>
          </cell>
          <cell r="C867" t="str">
            <v>Pad speed forward</v>
          </cell>
          <cell r="D867" t="str">
            <v>Prędkość w przód tamponu</v>
          </cell>
          <cell r="E867" t="str">
            <v>Viteza de avans a tamponului</v>
          </cell>
          <cell r="F867" t="str">
            <v>Velocidad avance tampón</v>
          </cell>
          <cell r="G867" t="str">
            <v>Velocidade de avanço do tampão</v>
          </cell>
          <cell r="H867" t="str">
            <v xml:space="preserve"> --&gt; hungarian ?</v>
          </cell>
          <cell r="J867" t="str">
            <v xml:space="preserve"> </v>
          </cell>
        </row>
        <row r="868">
          <cell r="A868">
            <v>867</v>
          </cell>
          <cell r="B868" t="str">
            <v>Vitesse recul tampon</v>
          </cell>
          <cell r="C868" t="str">
            <v>Pad speed backward</v>
          </cell>
          <cell r="D868" t="str">
            <v>Prędkość w tył tamponu</v>
          </cell>
          <cell r="E868" t="str">
            <v>Viteza de recul a tamponului</v>
          </cell>
          <cell r="F868" t="str">
            <v>Velocidad retroceso tampón</v>
          </cell>
          <cell r="G868" t="str">
            <v>Velocidade de recuo do tampão</v>
          </cell>
          <cell r="H868" t="str">
            <v xml:space="preserve"> --&gt; hungarian ?</v>
          </cell>
          <cell r="J868" t="str">
            <v xml:space="preserve"> </v>
          </cell>
        </row>
        <row r="869">
          <cell r="A869">
            <v>868</v>
          </cell>
          <cell r="B869" t="str">
            <v>Course descente tampon-pièce</v>
          </cell>
          <cell r="C869" t="str">
            <v>Pad-part stroke down</v>
          </cell>
          <cell r="D869" t="str">
            <v xml:space="preserve"> --&gt; polish ?</v>
          </cell>
          <cell r="E869" t="str">
            <v>Cursa de coborare a piesei-tampon</v>
          </cell>
          <cell r="F869" t="str">
            <v>Carrera descente tampón pieza</v>
          </cell>
          <cell r="G869" t="str">
            <v>Curso desdecndente tampão- peça</v>
          </cell>
          <cell r="H869" t="str">
            <v xml:space="preserve"> --&gt; hungarian ?</v>
          </cell>
          <cell r="J869" t="str">
            <v xml:space="preserve"> </v>
          </cell>
        </row>
        <row r="870">
          <cell r="A870">
            <v>869</v>
          </cell>
          <cell r="B870" t="str">
            <v>Temporisation tampon</v>
          </cell>
          <cell r="C870" t="str">
            <v>Pad time out</v>
          </cell>
          <cell r="D870" t="str">
            <v xml:space="preserve"> --&gt; polish ?</v>
          </cell>
          <cell r="E870" t="str">
            <v>Temporizarea tamponului</v>
          </cell>
          <cell r="F870" t="str">
            <v>Temporización tampón</v>
          </cell>
          <cell r="G870" t="str">
            <v>Temporisação do tampão</v>
          </cell>
          <cell r="H870" t="str">
            <v xml:space="preserve"> --&gt; hungarian ?</v>
          </cell>
          <cell r="J870" t="str">
            <v xml:space="preserve"> </v>
          </cell>
        </row>
        <row r="871">
          <cell r="A871">
            <v>870</v>
          </cell>
          <cell r="B871" t="str">
            <v>Référence support pièce</v>
          </cell>
          <cell r="C871" t="str">
            <v>Part support reference</v>
          </cell>
          <cell r="D871" t="str">
            <v>Referencja wsparcia detalu</v>
          </cell>
          <cell r="E871" t="str">
            <v>Referinta suportului piesei</v>
          </cell>
          <cell r="F871" t="str">
            <v>Referencia soporte pieza</v>
          </cell>
          <cell r="G871" t="str">
            <v>Referência do porta peças</v>
          </cell>
          <cell r="H871" t="str">
            <v xml:space="preserve"> --&gt; hungarian ?</v>
          </cell>
          <cell r="J871" t="str">
            <v xml:space="preserve"> </v>
          </cell>
        </row>
        <row r="872">
          <cell r="A872">
            <v>871</v>
          </cell>
          <cell r="B872" t="str">
            <v>Nombre de passes</v>
          </cell>
          <cell r="C872" t="str">
            <v>Passes quantity</v>
          </cell>
          <cell r="D872" t="str">
            <v>Ilość etapów</v>
          </cell>
          <cell r="E872" t="str">
            <v>Numarul de treceri</v>
          </cell>
          <cell r="F872" t="str">
            <v>Número de pasadas</v>
          </cell>
          <cell r="G872" t="str">
            <v>Nº. De passagens (batidas)</v>
          </cell>
          <cell r="H872" t="str">
            <v xml:space="preserve"> --&gt; hungarian ?</v>
          </cell>
          <cell r="J872" t="str">
            <v xml:space="preserve"> </v>
          </cell>
        </row>
        <row r="873">
          <cell r="A873">
            <v>872</v>
          </cell>
          <cell r="J873" t="str">
            <v xml:space="preserve"> </v>
          </cell>
        </row>
        <row r="874">
          <cell r="A874">
            <v>873</v>
          </cell>
          <cell r="J874" t="str">
            <v xml:space="preserve"> </v>
          </cell>
        </row>
        <row r="875">
          <cell r="A875">
            <v>874</v>
          </cell>
          <cell r="J875" t="str">
            <v xml:space="preserve"> </v>
          </cell>
        </row>
        <row r="876">
          <cell r="A876">
            <v>875</v>
          </cell>
          <cell r="B876" t="str">
            <v>Régulation du système induction(géné+coffret capa)</v>
          </cell>
          <cell r="C876" t="str">
            <v>System regulation for Induction (gene+box+capa)</v>
          </cell>
          <cell r="D876" t="str">
            <v xml:space="preserve"> --&gt; polish ?</v>
          </cell>
          <cell r="J876" t="str">
            <v xml:space="preserve"> </v>
          </cell>
        </row>
        <row r="877">
          <cell r="A877">
            <v>876</v>
          </cell>
          <cell r="B877" t="str">
            <v>Pour le réglage presse standard, se référer à la fiche de réglage injection (type).</v>
          </cell>
          <cell r="C877" t="str">
            <v>For specific settings of press, refer to the Injection adjustments sheet (type)</v>
          </cell>
          <cell r="D877" t="str">
            <v xml:space="preserve"> --&gt; polish ?</v>
          </cell>
          <cell r="J877" t="str">
            <v xml:space="preserve"> </v>
          </cell>
        </row>
        <row r="878">
          <cell r="A878">
            <v>877</v>
          </cell>
          <cell r="B878" t="str">
            <v>veillez à se tenir à distance des amenées pendant la phase de chauffe (mini 1 mètre).</v>
          </cell>
          <cell r="C878" t="str">
            <v>make sure that you stay away from the wirings during the heating phase (mini 1 meter).</v>
          </cell>
          <cell r="D878" t="str">
            <v xml:space="preserve"> --&gt; polish ?</v>
          </cell>
          <cell r="J878" t="str">
            <v xml:space="preserve"> </v>
          </cell>
        </row>
        <row r="879">
          <cell r="A879">
            <v>878</v>
          </cell>
          <cell r="B879" t="str">
            <v>Les personnes à risques (pacemaker, femme enceinte..) ne doivent pas être à moins de 3 m de la zone d'induction.</v>
          </cell>
          <cell r="C879" t="str">
            <v>Risky persons (pacemaker, pregnancy, ..) must stand away more than 3 m from the induction aera.</v>
          </cell>
          <cell r="D879" t="str">
            <v xml:space="preserve"> --&gt; polish ?</v>
          </cell>
          <cell r="J879" t="str">
            <v xml:space="preserve"> </v>
          </cell>
        </row>
        <row r="880">
          <cell r="A880">
            <v>879</v>
          </cell>
          <cell r="J880" t="str">
            <v xml:space="preserve"> </v>
          </cell>
        </row>
        <row r="881">
          <cell r="A881">
            <v>880</v>
          </cell>
          <cell r="B881" t="str">
            <v>Tolérances de chauffe</v>
          </cell>
          <cell r="C881" t="str">
            <v>Heating tolerances</v>
          </cell>
          <cell r="D881" t="str">
            <v xml:space="preserve"> --&gt; polish ?</v>
          </cell>
          <cell r="J881" t="str">
            <v xml:space="preserve"> </v>
          </cell>
        </row>
        <row r="882">
          <cell r="A882">
            <v>881</v>
          </cell>
          <cell r="B882" t="str">
            <v>T° haute</v>
          </cell>
          <cell r="C882" t="str">
            <v>Upper T°</v>
          </cell>
          <cell r="D882" t="str">
            <v xml:space="preserve"> --&gt; polish ?</v>
          </cell>
          <cell r="J882" t="str">
            <v xml:space="preserve"> </v>
          </cell>
        </row>
        <row r="883">
          <cell r="A883">
            <v>882</v>
          </cell>
          <cell r="B883" t="str">
            <v>T° basse</v>
          </cell>
          <cell r="C883" t="str">
            <v>Lower T°</v>
          </cell>
          <cell r="D883" t="str">
            <v xml:space="preserve"> --&gt; polish ?</v>
          </cell>
          <cell r="J883" t="str">
            <v xml:space="preserve"> </v>
          </cell>
        </row>
        <row r="884">
          <cell r="A884">
            <v>883</v>
          </cell>
          <cell r="B884" t="str">
            <v>INTERDIT</v>
          </cell>
          <cell r="C884" t="str">
            <v>Forbidden</v>
          </cell>
          <cell r="D884" t="str">
            <v xml:space="preserve"> --&gt; polish ?</v>
          </cell>
          <cell r="J884" t="str">
            <v xml:space="preserve"> </v>
          </cell>
        </row>
        <row r="885">
          <cell r="A885">
            <v>884</v>
          </cell>
          <cell r="B885" t="str">
            <v>Diamètre inducteur</v>
          </cell>
          <cell r="C885" t="str">
            <v>Inductor diameter</v>
          </cell>
          <cell r="D885" t="str">
            <v xml:space="preserve"> --&gt; polish ?</v>
          </cell>
          <cell r="J885" t="str">
            <v xml:space="preserve"> </v>
          </cell>
        </row>
        <row r="886">
          <cell r="A886">
            <v>885</v>
          </cell>
          <cell r="B886" t="str">
            <v>Longueur par empreinte</v>
          </cell>
          <cell r="C886" t="str">
            <v>Length per cavity</v>
          </cell>
          <cell r="D886" t="str">
            <v xml:space="preserve"> --&gt; polish ?</v>
          </cell>
          <cell r="J886" t="str">
            <v xml:space="preserve"> </v>
          </cell>
        </row>
        <row r="887">
          <cell r="A887">
            <v>886</v>
          </cell>
          <cell r="J887" t="str">
            <v xml:space="preserve"> </v>
          </cell>
        </row>
        <row r="888">
          <cell r="A888">
            <v>887</v>
          </cell>
          <cell r="J888" t="str">
            <v xml:space="preserve"> </v>
          </cell>
        </row>
        <row r="889">
          <cell r="A889">
            <v>888</v>
          </cell>
          <cell r="J889" t="str">
            <v xml:space="preserve"> </v>
          </cell>
        </row>
        <row r="890">
          <cell r="A890">
            <v>889</v>
          </cell>
          <cell r="B890" t="str">
            <v>FICHE DE REGLAGE (Type) ULTRASON / MECASONIC</v>
          </cell>
          <cell r="C890" t="str">
            <v>Adjustment sheet (Type) ULTRASONIC / MECASONIC</v>
          </cell>
          <cell r="D890" t="str">
            <v>KARTA NASTAW PARAMETRÓW ULTRADŹ WIĘKOWY (Ogólna)  / MECASONIC</v>
          </cell>
          <cell r="E890" t="str">
            <v>FISA DE REGLARE (Tip) SUDURA PRIN ULTRASUNET / MECASONIC</v>
          </cell>
          <cell r="F890" t="str">
            <v>FICHA DE AJUSTE (Tipo) DE ULTRASONIDOS  / MECASONIC</v>
          </cell>
          <cell r="G890" t="str">
            <v>FICHA TÉCNICA  SOLDADURA ULTRASONS / MECASONIC</v>
          </cell>
          <cell r="H890" t="str">
            <v>TECHNOLÓGIAI LAP (típusonként) : ULTRASONIC  / MECASONIC</v>
          </cell>
          <cell r="J890" t="str">
            <v xml:space="preserve"> </v>
          </cell>
        </row>
        <row r="891">
          <cell r="A891">
            <v>890</v>
          </cell>
          <cell r="B891" t="str">
            <v>FICHE DE REGLAGE (Type) ULTRASON / RINCO - BRANSON</v>
          </cell>
          <cell r="C891" t="str">
            <v>Adjustment sheet (Type) ULTRASONIC / RINCO - BRANSON</v>
          </cell>
          <cell r="D891" t="str">
            <v>KARTA NASTAW PARAMETRÓW ULTRADŹ WIĘKOWY (Ogólna) / RINCO - BRANSON</v>
          </cell>
          <cell r="E891" t="str">
            <v>FISA DE REGLARE (Tip) SUDURA PRIN ULTRASUNET / RINCO - BRANSON</v>
          </cell>
          <cell r="F891" t="str">
            <v>FICHA DE AJUSTE (Tipo) DE ULTRASONIDOS / RINCO - BRANSON</v>
          </cell>
          <cell r="G891" t="str">
            <v>FICHA TÉCNICA  SOLDADURA ULTRASONIC / RINGO - BRANSON</v>
          </cell>
          <cell r="H891" t="str">
            <v>TECHNOLÓGIAI LAP (típusonként) : ULTRASONIC / RINCO - BRANSON</v>
          </cell>
          <cell r="J891" t="str">
            <v xml:space="preserve"> </v>
          </cell>
        </row>
        <row r="892">
          <cell r="A892">
            <v>891</v>
          </cell>
          <cell r="B892" t="str">
            <v>Puissance en charge (%)</v>
          </cell>
          <cell r="C892" t="str">
            <v>Charge power (%)</v>
          </cell>
          <cell r="D892" t="str">
            <v>Moc ładowania (%)</v>
          </cell>
          <cell r="E892" t="str">
            <v>Puterea in sarja(%)</v>
          </cell>
          <cell r="F892" t="str">
            <v>Potencia en carga (%)</v>
          </cell>
          <cell r="G892" t="str">
            <v>Potência em carga (%)</v>
          </cell>
          <cell r="H892" t="str">
            <v xml:space="preserve"> --&gt; hungarian ?</v>
          </cell>
          <cell r="J892" t="str">
            <v xml:space="preserve"> </v>
          </cell>
        </row>
        <row r="893">
          <cell r="A893">
            <v>892</v>
          </cell>
          <cell r="B893" t="str">
            <v>Energie Limite (-)</v>
          </cell>
          <cell r="C893" t="str">
            <v>Limit energy (-)</v>
          </cell>
          <cell r="D893" t="str">
            <v>Limit energii (-)</v>
          </cell>
          <cell r="E893" t="str">
            <v>Energia Limita (-)</v>
          </cell>
          <cell r="F893" t="str">
            <v>Energía límite (-)</v>
          </cell>
          <cell r="G893" t="str">
            <v>Energia limite ( -)</v>
          </cell>
          <cell r="H893" t="str">
            <v xml:space="preserve"> --&gt; hungarian ?</v>
          </cell>
          <cell r="J893" t="str">
            <v xml:space="preserve"> </v>
          </cell>
        </row>
        <row r="894">
          <cell r="A894">
            <v>893</v>
          </cell>
          <cell r="B894" t="str">
            <v>Energie Limite (+)</v>
          </cell>
          <cell r="C894" t="str">
            <v>Limit energy (+)</v>
          </cell>
          <cell r="D894" t="str">
            <v>Limit energii (+)</v>
          </cell>
          <cell r="E894" t="str">
            <v>Energia Limita (+)</v>
          </cell>
          <cell r="F894" t="str">
            <v>Energía límite (+)</v>
          </cell>
          <cell r="G894" t="str">
            <v>Energia limite ( +)</v>
          </cell>
          <cell r="H894" t="str">
            <v xml:space="preserve"> --&gt; hungarian ?</v>
          </cell>
          <cell r="J894" t="str">
            <v xml:space="preserve"> </v>
          </cell>
        </row>
        <row r="895">
          <cell r="A895">
            <v>894</v>
          </cell>
          <cell r="B895" t="str">
            <v>Retard impulsion US (AB)</v>
          </cell>
          <cell r="C895" t="str">
            <v>AB delay</v>
          </cell>
          <cell r="D895" t="str">
            <v>Opóźnienie AB</v>
          </cell>
          <cell r="E895" t="str">
            <v>Intarzierea impulsului US (AB)</v>
          </cell>
          <cell r="F895" t="str">
            <v>Retraso impulsión US (Retardo AB )</v>
          </cell>
          <cell r="G895" t="str">
            <v>Recuo do Impluso US (AB)</v>
          </cell>
          <cell r="H895" t="str">
            <v xml:space="preserve"> --&gt; hungarian ?</v>
          </cell>
          <cell r="J895" t="str">
            <v xml:space="preserve"> </v>
          </cell>
        </row>
        <row r="896">
          <cell r="A896">
            <v>895</v>
          </cell>
          <cell r="B896" t="str">
            <v>Durée impulsion (AB)</v>
          </cell>
          <cell r="C896" t="str">
            <v>AB time</v>
          </cell>
          <cell r="D896" t="str">
            <v>Czas AB</v>
          </cell>
          <cell r="E896" t="str">
            <v>Durata impulsului (AB)</v>
          </cell>
          <cell r="F896" t="str">
            <v>Duración de impulsión (AB Tiempo)</v>
          </cell>
          <cell r="G896" t="str">
            <v>Duração do Impluso ( AB)</v>
          </cell>
          <cell r="H896" t="str">
            <v xml:space="preserve"> --&gt; hungarian ?</v>
          </cell>
          <cell r="J896" t="str">
            <v xml:space="preserve"> </v>
          </cell>
        </row>
        <row r="897">
          <cell r="A897">
            <v>896</v>
          </cell>
          <cell r="B897" t="str">
            <v>Vitesse descente</v>
          </cell>
          <cell r="C897" t="str">
            <v>Speed down</v>
          </cell>
          <cell r="D897" t="str">
            <v>Prędkość spadkowa</v>
          </cell>
          <cell r="E897" t="str">
            <v>Viteza de coborare</v>
          </cell>
          <cell r="F897" t="str">
            <v>Velocidad de descenso</v>
          </cell>
          <cell r="G897" t="str">
            <v>Vlocidade de descida</v>
          </cell>
          <cell r="H897" t="str">
            <v xml:space="preserve"> --&gt; hungarian ?</v>
          </cell>
          <cell r="J897" t="str">
            <v xml:space="preserve"> </v>
          </cell>
        </row>
        <row r="898">
          <cell r="A898">
            <v>897</v>
          </cell>
          <cell r="B898" t="str">
            <v>Amplitude</v>
          </cell>
          <cell r="C898" t="str">
            <v>Amplitude</v>
          </cell>
          <cell r="D898" t="str">
            <v>Amplituda</v>
          </cell>
          <cell r="E898" t="str">
            <v>Amplitudinea</v>
          </cell>
          <cell r="F898" t="str">
            <v>Amplitud</v>
          </cell>
          <cell r="G898" t="str">
            <v>Amplitude</v>
          </cell>
          <cell r="H898" t="str">
            <v xml:space="preserve"> --&gt; hungarian ?</v>
          </cell>
          <cell r="J898" t="str">
            <v xml:space="preserve"> </v>
          </cell>
        </row>
        <row r="899">
          <cell r="A899">
            <v>898</v>
          </cell>
          <cell r="B899" t="str">
            <v>Hauteur colonne</v>
          </cell>
          <cell r="C899" t="str">
            <v>Column height</v>
          </cell>
          <cell r="D899" t="str">
            <v>Wyskość kolumny</v>
          </cell>
          <cell r="E899" t="str">
            <v>Inaltimea coloanei</v>
          </cell>
          <cell r="F899" t="str">
            <v>Altura en columna</v>
          </cell>
          <cell r="G899" t="str">
            <v>Altura da coluna</v>
          </cell>
          <cell r="H899" t="str">
            <v>Column magasság</v>
          </cell>
          <cell r="J899" t="str">
            <v xml:space="preserve"> </v>
          </cell>
        </row>
        <row r="900">
          <cell r="A900">
            <v>899</v>
          </cell>
          <cell r="B900" t="str">
            <v>Départ US</v>
          </cell>
          <cell r="C900" t="str">
            <v>US start</v>
          </cell>
          <cell r="D900" t="str">
            <v>Start US</v>
          </cell>
          <cell r="E900" t="str">
            <v>Startul US</v>
          </cell>
          <cell r="F900" t="str">
            <v>US Inicio</v>
          </cell>
          <cell r="G900" t="str">
            <v>Inicio US</v>
          </cell>
          <cell r="H900" t="str">
            <v xml:space="preserve"> --&gt; hungarian ?</v>
          </cell>
          <cell r="J900" t="str">
            <v xml:space="preserve"> </v>
          </cell>
        </row>
        <row r="901">
          <cell r="A901">
            <v>900</v>
          </cell>
          <cell r="B901" t="str">
            <v>Profondeur soudure</v>
          </cell>
          <cell r="C901" t="str">
            <v>Welding depth</v>
          </cell>
          <cell r="D901" t="str">
            <v>Głębokość spawania</v>
          </cell>
          <cell r="E901" t="str">
            <v>Adancimea sudurii</v>
          </cell>
          <cell r="F901" t="str">
            <v>Profundidad de soldadura</v>
          </cell>
          <cell r="G901" t="str">
            <v>Profundidade da soldadura</v>
          </cell>
          <cell r="H901" t="str">
            <v xml:space="preserve"> --&gt; hungarian ?</v>
          </cell>
          <cell r="J901" t="str">
            <v xml:space="preserve"> </v>
          </cell>
        </row>
        <row r="902">
          <cell r="A902">
            <v>901</v>
          </cell>
          <cell r="B902" t="str">
            <v>Activité à vide</v>
          </cell>
          <cell r="C902" t="str">
            <v>Not running activity</v>
          </cell>
          <cell r="D902" t="str">
            <v>Działanie próżni</v>
          </cell>
          <cell r="E902" t="str">
            <v>Activitate in gol</v>
          </cell>
          <cell r="F902" t="str">
            <v>Actividad en vacío</v>
          </cell>
          <cell r="G902" t="str">
            <v>Trabalho em vazio</v>
          </cell>
          <cell r="H902" t="str">
            <v xml:space="preserve"> --&gt; hungarian ?</v>
          </cell>
          <cell r="J902" t="str">
            <v xml:space="preserve"> </v>
          </cell>
        </row>
        <row r="903">
          <cell r="A903">
            <v>902</v>
          </cell>
          <cell r="B903" t="str">
            <v>Activité en charge</v>
          </cell>
          <cell r="C903" t="str">
            <v>In charge activity</v>
          </cell>
          <cell r="D903" t="str">
            <v xml:space="preserve"> --&gt; polish ?</v>
          </cell>
          <cell r="E903" t="str">
            <v>Activitate in sarja</v>
          </cell>
          <cell r="F903" t="str">
            <v>Actividad en carga</v>
          </cell>
          <cell r="G903" t="str">
            <v>Em trabalho</v>
          </cell>
          <cell r="H903" t="str">
            <v xml:space="preserve"> --&gt; hungarian ?</v>
          </cell>
          <cell r="J903" t="str">
            <v xml:space="preserve"> </v>
          </cell>
        </row>
        <row r="904">
          <cell r="A904">
            <v>903</v>
          </cell>
          <cell r="B904" t="str">
            <v>Temps de soudure</v>
          </cell>
          <cell r="C904" t="str">
            <v>Welding time</v>
          </cell>
          <cell r="D904" t="str">
            <v xml:space="preserve"> Czas spawania</v>
          </cell>
          <cell r="E904" t="str">
            <v>Timp de sudura</v>
          </cell>
          <cell r="F904" t="str">
            <v>Tiempo de soldadura</v>
          </cell>
          <cell r="G904" t="str">
            <v>Tempo de soldadura</v>
          </cell>
          <cell r="H904" t="str">
            <v xml:space="preserve"> --&gt; hungarian ?</v>
          </cell>
          <cell r="J904" t="str">
            <v xml:space="preserve"> </v>
          </cell>
        </row>
        <row r="905">
          <cell r="A905">
            <v>904</v>
          </cell>
          <cell r="B905" t="str">
            <v>Pression de soudure</v>
          </cell>
          <cell r="C905" t="str">
            <v>Welding pressure</v>
          </cell>
          <cell r="D905" t="str">
            <v>Ciśnienie spawania</v>
          </cell>
          <cell r="E905" t="str">
            <v>Presiunea de sudura</v>
          </cell>
          <cell r="F905" t="str">
            <v>Presión de soldadura</v>
          </cell>
          <cell r="G905" t="str">
            <v>Pressão de soldadura</v>
          </cell>
          <cell r="H905" t="str">
            <v>Welding nyomás</v>
          </cell>
          <cell r="J905" t="str">
            <v xml:space="preserve"> </v>
          </cell>
        </row>
        <row r="906">
          <cell r="A906">
            <v>905</v>
          </cell>
          <cell r="B906" t="str">
            <v>Temps de maintien</v>
          </cell>
          <cell r="C906" t="str">
            <v>Holding time</v>
          </cell>
          <cell r="D906" t="str">
            <v>Czas trzymania</v>
          </cell>
          <cell r="E906" t="str">
            <v>Timp de mentinere</v>
          </cell>
          <cell r="F906" t="str">
            <v>Tiempo de mantenimiento</v>
          </cell>
          <cell r="G906" t="str">
            <v>Tempo de carga</v>
          </cell>
          <cell r="H906" t="str">
            <v xml:space="preserve"> --&gt; hungarian ?</v>
          </cell>
          <cell r="J906" t="str">
            <v xml:space="preserve"> </v>
          </cell>
        </row>
        <row r="907">
          <cell r="A907">
            <v>906</v>
          </cell>
          <cell r="B907" t="str">
            <v>Pression de maintien</v>
          </cell>
          <cell r="C907" t="str">
            <v>Holding pressure</v>
          </cell>
          <cell r="D907" t="str">
            <v>Ciśnienie trzymania</v>
          </cell>
          <cell r="E907" t="str">
            <v>Presiune de mentinere</v>
          </cell>
          <cell r="F907" t="str">
            <v>Presión de mantenimiento</v>
          </cell>
          <cell r="G907" t="str">
            <v>Pressão de carga</v>
          </cell>
          <cell r="H907" t="str">
            <v>Holding nyomás</v>
          </cell>
          <cell r="J907" t="str">
            <v xml:space="preserve"> </v>
          </cell>
        </row>
        <row r="908">
          <cell r="A908">
            <v>907</v>
          </cell>
          <cell r="B908" t="str">
            <v>Pression déclenchement</v>
          </cell>
          <cell r="C908" t="str">
            <v>Trigger pressure</v>
          </cell>
          <cell r="D908" t="str">
            <v>Ciśnienie spustu</v>
          </cell>
          <cell r="E908" t="str">
            <v>Presiune de declansare</v>
          </cell>
          <cell r="F908" t="str">
            <v>Presión de disparo</v>
          </cell>
          <cell r="G908" t="str">
            <v>Pressão arranque de ciclo</v>
          </cell>
          <cell r="H908" t="str">
            <v>Trigger nyomás</v>
          </cell>
          <cell r="J908" t="str">
            <v xml:space="preserve"> </v>
          </cell>
        </row>
        <row r="909">
          <cell r="A909">
            <v>908</v>
          </cell>
          <cell r="B909" t="str">
            <v>Pression de travail</v>
          </cell>
          <cell r="C909" t="str">
            <v>Working pressure</v>
          </cell>
          <cell r="D909" t="str">
            <v>Ciśnienie robocze</v>
          </cell>
          <cell r="E909" t="str">
            <v>Presiunea de lucru</v>
          </cell>
          <cell r="F909" t="str">
            <v>Presión de trabajo</v>
          </cell>
          <cell r="G909" t="str">
            <v>Pressão de trabalho</v>
          </cell>
          <cell r="H909" t="str">
            <v>Working nyomás</v>
          </cell>
          <cell r="J909" t="str">
            <v xml:space="preserve"> </v>
          </cell>
        </row>
        <row r="910">
          <cell r="A910">
            <v>909</v>
          </cell>
          <cell r="B910" t="str">
            <v>Butée</v>
          </cell>
          <cell r="C910" t="str">
            <v>End stop</v>
          </cell>
          <cell r="D910" t="str">
            <v>Stop</v>
          </cell>
          <cell r="E910" t="str">
            <v>Oprirea de final</v>
          </cell>
          <cell r="F910" t="str">
            <v>Tope</v>
          </cell>
          <cell r="G910" t="str">
            <v>Betoneira</v>
          </cell>
          <cell r="H910" t="str">
            <v xml:space="preserve"> --&gt; hungarian ?</v>
          </cell>
          <cell r="J910" t="str">
            <v xml:space="preserve"> </v>
          </cell>
        </row>
        <row r="911">
          <cell r="A911">
            <v>910</v>
          </cell>
          <cell r="B911" t="str">
            <v>Trigger avant</v>
          </cell>
          <cell r="C911" t="str">
            <v>Trigger before</v>
          </cell>
          <cell r="D911" t="str">
            <v>Spust przed</v>
          </cell>
          <cell r="E911" t="str">
            <v>Trigger inainte</v>
          </cell>
          <cell r="F911" t="str">
            <v>Trigger antes</v>
          </cell>
          <cell r="G911" t="str">
            <v>Trigger frontal</v>
          </cell>
          <cell r="H911" t="str">
            <v xml:space="preserve"> --&gt; hungarian ?</v>
          </cell>
          <cell r="J911" t="str">
            <v xml:space="preserve"> </v>
          </cell>
        </row>
        <row r="912">
          <cell r="A912">
            <v>911</v>
          </cell>
          <cell r="B912" t="str">
            <v>Trigger après</v>
          </cell>
          <cell r="C912" t="str">
            <v>Trigger after</v>
          </cell>
          <cell r="D912" t="str">
            <v>Spust po</v>
          </cell>
          <cell r="E912" t="str">
            <v>Trigger dupa</v>
          </cell>
          <cell r="F912" t="str">
            <v>Trigger después</v>
          </cell>
          <cell r="G912" t="str">
            <v>Trigger traseiro</v>
          </cell>
          <cell r="H912" t="str">
            <v>Trigger tán</v>
          </cell>
          <cell r="J912" t="str">
            <v xml:space="preserve"> </v>
          </cell>
        </row>
        <row r="913">
          <cell r="A913">
            <v>912</v>
          </cell>
          <cell r="B913" t="str">
            <v>Booster</v>
          </cell>
          <cell r="C913" t="str">
            <v>Booster</v>
          </cell>
          <cell r="D913" t="str">
            <v>Podsprężarka</v>
          </cell>
          <cell r="E913" t="str">
            <v>Booster</v>
          </cell>
          <cell r="F913" t="str">
            <v>Booster</v>
          </cell>
          <cell r="G913" t="str">
            <v>Booster</v>
          </cell>
          <cell r="H913" t="str">
            <v xml:space="preserve"> --&gt; hungarian ?</v>
          </cell>
          <cell r="J913" t="str">
            <v xml:space="preserve"> </v>
          </cell>
        </row>
        <row r="914">
          <cell r="A914">
            <v>913</v>
          </cell>
          <cell r="B914" t="str">
            <v>Réglage amplitude</v>
          </cell>
          <cell r="C914" t="str">
            <v>Amplitude set</v>
          </cell>
          <cell r="D914" t="str">
            <v>Ustawienia amplitudy</v>
          </cell>
          <cell r="E914" t="str">
            <v>Reglarea amplitudinii</v>
          </cell>
          <cell r="F914" t="str">
            <v>Amplitud de reglaje</v>
          </cell>
          <cell r="G914" t="str">
            <v>Amplitude de afinação</v>
          </cell>
          <cell r="H914" t="str">
            <v xml:space="preserve"> --&gt; hungarian ?</v>
          </cell>
          <cell r="J914" t="str">
            <v xml:space="preserve"> </v>
          </cell>
        </row>
        <row r="915">
          <cell r="A915">
            <v>914</v>
          </cell>
          <cell r="B915" t="str">
            <v>Référence sonotrode</v>
          </cell>
          <cell r="C915" t="str">
            <v>Sonotrode reference</v>
          </cell>
          <cell r="D915" t="str">
            <v>Referencja sonotrody</v>
          </cell>
          <cell r="E915" t="str">
            <v>Referinta sontrod</v>
          </cell>
          <cell r="F915" t="str">
            <v>Referencia sonotrode</v>
          </cell>
          <cell r="G915" t="str">
            <v>Referência do sonotrodo</v>
          </cell>
          <cell r="H915" t="str">
            <v xml:space="preserve"> --&gt; hungarian ?</v>
          </cell>
          <cell r="J915" t="str">
            <v xml:space="preserve"> </v>
          </cell>
        </row>
        <row r="916">
          <cell r="A916">
            <v>915</v>
          </cell>
          <cell r="B916" t="str">
            <v>PARAMETRES</v>
          </cell>
          <cell r="C916" t="str">
            <v>PARAMETERS</v>
          </cell>
          <cell r="D916" t="str">
            <v>USTAWIENIA</v>
          </cell>
          <cell r="E916" t="str">
            <v>PARAMETRII</v>
          </cell>
          <cell r="F916" t="str">
            <v>PARAMETROS</v>
          </cell>
          <cell r="G916" t="str">
            <v>PARAMETROS</v>
          </cell>
          <cell r="H916" t="str">
            <v>PARAMÉTEREK</v>
          </cell>
          <cell r="J916" t="str">
            <v xml:space="preserve"> </v>
          </cell>
        </row>
        <row r="917">
          <cell r="A917">
            <v>916</v>
          </cell>
          <cell r="B917" t="str">
            <v>Sonotrode Prog/Machine</v>
          </cell>
          <cell r="C917" t="str">
            <v>Sonotrode Prog/Machine</v>
          </cell>
          <cell r="D917" t="str">
            <v>Sonotroda Programowanie / Maszyna</v>
          </cell>
          <cell r="E917" t="str">
            <v xml:space="preserve">Prog/Masina Sonotrod </v>
          </cell>
          <cell r="F917" t="str">
            <v>Sonotrode Porg/Maquina</v>
          </cell>
          <cell r="G917" t="str">
            <v>Sonotrodo Prog. / máquina</v>
          </cell>
          <cell r="H917" t="str">
            <v xml:space="preserve"> --&gt; hungarian ?</v>
          </cell>
          <cell r="J917" t="str">
            <v xml:space="preserve"> </v>
          </cell>
        </row>
        <row r="918">
          <cell r="A918">
            <v>917</v>
          </cell>
          <cell r="B918" t="str">
            <v>Ø Vérin</v>
          </cell>
          <cell r="C918" t="str">
            <v>Cylinder Ø</v>
          </cell>
          <cell r="D918" t="str">
            <v>Średnica Cylindra</v>
          </cell>
          <cell r="E918" t="str">
            <v>Ø cilindrului</v>
          </cell>
          <cell r="F918" t="str">
            <v>Ø cilindro</v>
          </cell>
          <cell r="G918" t="str">
            <v>Diam. Cilindro</v>
          </cell>
          <cell r="H918" t="str">
            <v xml:space="preserve"> --&gt; hungarian ?</v>
          </cell>
          <cell r="J918" t="str">
            <v xml:space="preserve"> </v>
          </cell>
        </row>
        <row r="919">
          <cell r="A919">
            <v>918</v>
          </cell>
          <cell r="B919" t="str">
            <v>Amortisseur</v>
          </cell>
          <cell r="C919" t="str">
            <v>Damper</v>
          </cell>
          <cell r="D919" t="str">
            <v>Amortyzator</v>
          </cell>
          <cell r="E919" t="str">
            <v>Amortizor</v>
          </cell>
          <cell r="F919" t="str">
            <v>Amortizador</v>
          </cell>
          <cell r="G919" t="str">
            <v>Amortecedor</v>
          </cell>
          <cell r="H919" t="str">
            <v xml:space="preserve"> --&gt; hungarian ?</v>
          </cell>
          <cell r="J919" t="str">
            <v xml:space="preserve"> </v>
          </cell>
        </row>
        <row r="920">
          <cell r="A920">
            <v>919</v>
          </cell>
          <cell r="B920" t="str">
            <v>Puissance générateur</v>
          </cell>
          <cell r="C920" t="str">
            <v>Generator power</v>
          </cell>
          <cell r="D920" t="str">
            <v>Zasilanie generatora</v>
          </cell>
          <cell r="E920" t="str">
            <v>Puterea generatorului</v>
          </cell>
          <cell r="F920" t="str">
            <v>Generador potencia</v>
          </cell>
          <cell r="G920" t="str">
            <v>Potencia do Gerador</v>
          </cell>
          <cell r="H920" t="str">
            <v xml:space="preserve"> --&gt; hungarian ?</v>
          </cell>
          <cell r="J920" t="str">
            <v xml:space="preserve"> </v>
          </cell>
        </row>
        <row r="921">
          <cell r="A921">
            <v>920</v>
          </cell>
          <cell r="B921" t="str">
            <v>Enclume Prog/machine</v>
          </cell>
          <cell r="C921" t="str">
            <v>Part support Prog/machine</v>
          </cell>
          <cell r="E921" t="str">
            <v xml:space="preserve"> Prog/machine supot piesa</v>
          </cell>
          <cell r="F921" t="str">
            <v>Soporte prog/machine</v>
          </cell>
          <cell r="G921" t="str">
            <v>Porta peças Prog. / máquina</v>
          </cell>
          <cell r="H921" t="str">
            <v xml:space="preserve"> --&gt; hungarian ?</v>
          </cell>
          <cell r="J921" t="str">
            <v xml:space="preserve"> </v>
          </cell>
        </row>
        <row r="922">
          <cell r="A922">
            <v>921</v>
          </cell>
          <cell r="B922" t="str">
            <v>FONCTIONNEMENT</v>
          </cell>
          <cell r="C922" t="str">
            <v>OPERATION</v>
          </cell>
          <cell r="D922" t="str">
            <v>OPERACJA</v>
          </cell>
          <cell r="E922" t="str">
            <v>FUNCTIONARE</v>
          </cell>
          <cell r="F922" t="str">
            <v>FUNCIONAMIENTO</v>
          </cell>
          <cell r="G922" t="str">
            <v>FUNCIONAMENTO</v>
          </cell>
          <cell r="H922" t="str">
            <v xml:space="preserve"> --&gt; hungarian ?</v>
          </cell>
          <cell r="J922" t="str">
            <v xml:space="preserve"> </v>
          </cell>
        </row>
        <row r="923">
          <cell r="A923">
            <v>922</v>
          </cell>
          <cell r="B923" t="str">
            <v>Compteur</v>
          </cell>
          <cell r="C923" t="str">
            <v>Counter</v>
          </cell>
          <cell r="D923" t="str">
            <v>Licznik</v>
          </cell>
          <cell r="E923" t="str">
            <v>Contor</v>
          </cell>
          <cell r="F923" t="str">
            <v>Contador</v>
          </cell>
          <cell r="G923" t="str">
            <v>Contador</v>
          </cell>
          <cell r="H923" t="str">
            <v xml:space="preserve"> --&gt; hungarian ?</v>
          </cell>
          <cell r="J923" t="str">
            <v xml:space="preserve"> </v>
          </cell>
        </row>
        <row r="924">
          <cell r="A924">
            <v>923</v>
          </cell>
          <cell r="B924" t="str">
            <v>Rejets/1000 seuil maxi</v>
          </cell>
          <cell r="C924" t="str">
            <v>Scrap/1000 max threshold</v>
          </cell>
          <cell r="D924" t="str">
            <v>Odrzuty/ próg max. 1000</v>
          </cell>
          <cell r="E924" t="str">
            <v>Rebuturi/1000 prag maxim</v>
          </cell>
          <cell r="F924" t="str">
            <v>Rechazos / 1000 nivel maxi</v>
          </cell>
          <cell r="G924" t="str">
            <v>rejeição / 1000 máximo aceitável</v>
          </cell>
          <cell r="H924" t="str">
            <v xml:space="preserve"> --&gt; hungarian ?</v>
          </cell>
          <cell r="J924" t="str">
            <v xml:space="preserve"> </v>
          </cell>
        </row>
        <row r="925">
          <cell r="A925">
            <v>924</v>
          </cell>
          <cell r="B925" t="str">
            <v>Rejets succesifs seuil maxi</v>
          </cell>
          <cell r="C925" t="str">
            <v>Successive scrap max threshold</v>
          </cell>
          <cell r="D925" t="str">
            <v>Max. Próg sukcesywnego odrzutu</v>
          </cell>
          <cell r="E925" t="str">
            <v>Rebuturi succesive prag maxim</v>
          </cell>
          <cell r="F925" t="str">
            <v>Rechazos sucesivos nivel max</v>
          </cell>
          <cell r="G925" t="str">
            <v>Nº de peças consecutivas rejeitadas máximo aceitável.</v>
          </cell>
          <cell r="H925" t="str">
            <v xml:space="preserve"> --&gt; hungarian ?</v>
          </cell>
          <cell r="J925" t="str">
            <v xml:space="preserve"> </v>
          </cell>
        </row>
        <row r="926">
          <cell r="A926">
            <v>925</v>
          </cell>
          <cell r="B926" t="str">
            <v>Arrêt fabrication</v>
          </cell>
          <cell r="C926" t="str">
            <v>Stop production</v>
          </cell>
          <cell r="D926" t="str">
            <v>Produkcja stop</v>
          </cell>
          <cell r="E926" t="str">
            <v>Oprirea productiei</v>
          </cell>
          <cell r="F926" t="str">
            <v>Paro producción</v>
          </cell>
          <cell r="G926" t="str">
            <v>Parar a produção</v>
          </cell>
          <cell r="H926" t="str">
            <v xml:space="preserve"> --&gt; hungarian ?</v>
          </cell>
          <cell r="J926" t="str">
            <v xml:space="preserve"> </v>
          </cell>
        </row>
        <row r="927">
          <cell r="A927">
            <v>926</v>
          </cell>
          <cell r="B927" t="str">
            <v>Départ</v>
          </cell>
          <cell r="C927" t="str">
            <v>Start</v>
          </cell>
          <cell r="D927" t="str">
            <v>Start</v>
          </cell>
          <cell r="E927" t="str">
            <v>Pornire</v>
          </cell>
          <cell r="F927" t="str">
            <v>Inicio</v>
          </cell>
          <cell r="G927" t="str">
            <v>Arranque</v>
          </cell>
          <cell r="H927" t="str">
            <v xml:space="preserve"> --&gt; hungarian ?</v>
          </cell>
          <cell r="J927" t="str">
            <v xml:space="preserve"> </v>
          </cell>
        </row>
        <row r="928">
          <cell r="A928">
            <v>927</v>
          </cell>
          <cell r="B928" t="str">
            <v>Départ US avant contact</v>
          </cell>
          <cell r="C928" t="str">
            <v>US Start before contact</v>
          </cell>
          <cell r="D928" t="str">
            <v>Start US przed kontaktem</v>
          </cell>
          <cell r="E928" t="str">
            <v>Pornire US inainte de contact</v>
          </cell>
          <cell r="F928" t="str">
            <v>Inicio US antes del contacto</v>
          </cell>
          <cell r="G928" t="str">
            <v>Arranque US antes de contacto</v>
          </cell>
          <cell r="H928" t="str">
            <v xml:space="preserve"> --&gt; hungarian ?</v>
          </cell>
          <cell r="J928" t="str">
            <v xml:space="preserve"> </v>
          </cell>
        </row>
        <row r="929">
          <cell r="A929">
            <v>928</v>
          </cell>
          <cell r="B929" t="str">
            <v>Départ US au contact+retard</v>
          </cell>
          <cell r="C929" t="str">
            <v>US Start on contact+delay</v>
          </cell>
          <cell r="D929" t="str">
            <v>Start US w kontakcie + opóźnienie</v>
          </cell>
          <cell r="E929" t="str">
            <v>Pornire US la contact+intarziere</v>
          </cell>
          <cell r="F929" t="str">
            <v>Inicio US en contacto + retardo</v>
          </cell>
          <cell r="G929" t="str">
            <v>Arranque US no contacto em atraso</v>
          </cell>
          <cell r="H929" t="str">
            <v xml:space="preserve"> --&gt; hungarian ?</v>
          </cell>
          <cell r="J929" t="str">
            <v xml:space="preserve"> </v>
          </cell>
        </row>
        <row r="930">
          <cell r="A930">
            <v>929</v>
          </cell>
          <cell r="B930" t="str">
            <v>Arrêt US</v>
          </cell>
          <cell r="C930" t="str">
            <v>US Stop</v>
          </cell>
          <cell r="D930" t="str">
            <v>US Stop</v>
          </cell>
          <cell r="E930" t="str">
            <v>Oprire US</v>
          </cell>
          <cell r="F930" t="str">
            <v>Paro US</v>
          </cell>
          <cell r="G930" t="str">
            <v>Paragem US</v>
          </cell>
          <cell r="H930" t="str">
            <v xml:space="preserve"> --&gt; hungarian ?</v>
          </cell>
          <cell r="J930" t="str">
            <v xml:space="preserve"> </v>
          </cell>
        </row>
        <row r="931">
          <cell r="A931">
            <v>930</v>
          </cell>
          <cell r="B931" t="str">
            <v>Cote constante</v>
          </cell>
          <cell r="C931" t="str">
            <v>Constant height</v>
          </cell>
          <cell r="D931" t="str">
            <v>Stała wysokość</v>
          </cell>
          <cell r="E931" t="str">
            <v>Cota constanta</v>
          </cell>
          <cell r="F931" t="str">
            <v>Lado constante</v>
          </cell>
          <cell r="G931" t="str">
            <v>Subida Constante</v>
          </cell>
          <cell r="H931" t="str">
            <v xml:space="preserve"> --&gt; hungarian ?</v>
          </cell>
          <cell r="J931" t="str">
            <v xml:space="preserve"> </v>
          </cell>
        </row>
        <row r="932">
          <cell r="A932">
            <v>931</v>
          </cell>
          <cell r="B932" t="str">
            <v>Enfoncement constant</v>
          </cell>
          <cell r="C932" t="str">
            <v>Constant depth</v>
          </cell>
          <cell r="D932" t="str">
            <v>Stały docisk</v>
          </cell>
          <cell r="E932" t="str">
            <v>Adancime constanta</v>
          </cell>
          <cell r="F932" t="str">
            <v>Refuerzo constante</v>
          </cell>
          <cell r="G932" t="str">
            <v>Descida constante</v>
          </cell>
          <cell r="H932" t="str">
            <v xml:space="preserve"> --&gt; hungarian ?</v>
          </cell>
          <cell r="J932" t="str">
            <v xml:space="preserve"> </v>
          </cell>
        </row>
        <row r="933">
          <cell r="A933">
            <v>932</v>
          </cell>
          <cell r="B933" t="str">
            <v>Temps constant</v>
          </cell>
          <cell r="C933" t="str">
            <v>Constant time</v>
          </cell>
          <cell r="D933" t="str">
            <v>Czas stały</v>
          </cell>
          <cell r="E933" t="str">
            <v>Timp constant</v>
          </cell>
          <cell r="F933" t="str">
            <v>Tiempo constante</v>
          </cell>
          <cell r="G933" t="str">
            <v>Tempo constante</v>
          </cell>
          <cell r="H933" t="str">
            <v xml:space="preserve"> --&gt; hungarian ?</v>
          </cell>
          <cell r="J933" t="str">
            <v xml:space="preserve"> </v>
          </cell>
        </row>
        <row r="934">
          <cell r="A934">
            <v>933</v>
          </cell>
          <cell r="B934" t="str">
            <v>Energie constante</v>
          </cell>
          <cell r="C934" t="str">
            <v>Constant energy</v>
          </cell>
          <cell r="D934" t="str">
            <v>Stała energia</v>
          </cell>
          <cell r="E934" t="str">
            <v>Energie constanta</v>
          </cell>
          <cell r="F934" t="str">
            <v>Energía constante</v>
          </cell>
          <cell r="G934" t="str">
            <v>Energia constante</v>
          </cell>
          <cell r="H934" t="str">
            <v xml:space="preserve"> --&gt; hungarian ?</v>
          </cell>
          <cell r="J934" t="str">
            <v xml:space="preserve"> </v>
          </cell>
        </row>
        <row r="935">
          <cell r="A935">
            <v>934</v>
          </cell>
          <cell r="B935" t="str">
            <v>RWS</v>
          </cell>
          <cell r="C935" t="str">
            <v>RWS</v>
          </cell>
          <cell r="D935" t="str">
            <v>RWS</v>
          </cell>
          <cell r="E935" t="str">
            <v>RWS</v>
          </cell>
          <cell r="F935" t="str">
            <v>RWS</v>
          </cell>
          <cell r="G935" t="str">
            <v>RWS</v>
          </cell>
          <cell r="H935" t="str">
            <v xml:space="preserve"> --&gt; hungarian ?</v>
          </cell>
          <cell r="J935" t="str">
            <v xml:space="preserve"> </v>
          </cell>
        </row>
        <row r="936">
          <cell r="A936">
            <v>935</v>
          </cell>
          <cell r="B936" t="str">
            <v>Sans RWS</v>
          </cell>
          <cell r="C936" t="str">
            <v>No RWS</v>
          </cell>
          <cell r="D936" t="str">
            <v>Brak RWS</v>
          </cell>
          <cell r="E936" t="str">
            <v>Fara RWS</v>
          </cell>
          <cell r="F936" t="str">
            <v>No RWS</v>
          </cell>
          <cell r="G936" t="str">
            <v>Sem RWS</v>
          </cell>
          <cell r="H936" t="str">
            <v xml:space="preserve"> --&gt; hungarian ?</v>
          </cell>
          <cell r="J936" t="str">
            <v xml:space="preserve"> </v>
          </cell>
        </row>
        <row r="937">
          <cell r="A937">
            <v>936</v>
          </cell>
          <cell r="B937" t="str">
            <v>RWS auto niveau</v>
          </cell>
          <cell r="C937" t="str">
            <v>RWS auto level</v>
          </cell>
          <cell r="D937" t="str">
            <v>Poziom auto RWS</v>
          </cell>
          <cell r="E937" t="str">
            <v>RWS auto nivel</v>
          </cell>
          <cell r="F937" t="str">
            <v>RWS auto nivel</v>
          </cell>
          <cell r="G937" t="str">
            <v>RWS alto nivel</v>
          </cell>
          <cell r="H937" t="str">
            <v xml:space="preserve"> --&gt; hungarian ?</v>
          </cell>
          <cell r="J937" t="str">
            <v xml:space="preserve"> </v>
          </cell>
        </row>
        <row r="938">
          <cell r="A938">
            <v>937</v>
          </cell>
          <cell r="B938" t="str">
            <v>RWS manuel seuil</v>
          </cell>
          <cell r="C938" t="str">
            <v>RWS manual threshold</v>
          </cell>
          <cell r="D938" t="str">
            <v>RWS ręczny</v>
          </cell>
          <cell r="E938" t="str">
            <v>RWS prag manual</v>
          </cell>
          <cell r="F938" t="str">
            <v>RWS nivel manual</v>
          </cell>
          <cell r="G938" t="str">
            <v>RWS limite manual</v>
          </cell>
          <cell r="H938" t="str">
            <v xml:space="preserve"> --&gt; hungarian ?</v>
          </cell>
          <cell r="J938" t="str">
            <v xml:space="preserve"> </v>
          </cell>
        </row>
        <row r="939">
          <cell r="A939">
            <v>938</v>
          </cell>
          <cell r="B939" t="str">
            <v>RWS dynamique codeur</v>
          </cell>
          <cell r="C939" t="str">
            <v>RWS dynamic encoder</v>
          </cell>
          <cell r="D939" t="str">
            <v xml:space="preserve"> --&gt; polish ?</v>
          </cell>
          <cell r="E939" t="str">
            <v>RWS codor dinamic</v>
          </cell>
          <cell r="F939" t="str">
            <v>RWS tacometro dinamico</v>
          </cell>
          <cell r="G939" t="str">
            <v>RWS Encoder dinámico</v>
          </cell>
          <cell r="H939" t="str">
            <v xml:space="preserve"> --&gt; hungarian ?</v>
          </cell>
          <cell r="J939" t="str">
            <v xml:space="preserve"> </v>
          </cell>
        </row>
        <row r="940">
          <cell r="A940">
            <v>939</v>
          </cell>
          <cell r="B940" t="str">
            <v>Maintien</v>
          </cell>
          <cell r="C940" t="str">
            <v>Holding</v>
          </cell>
          <cell r="D940" t="str">
            <v>Podtrzymanie</v>
          </cell>
          <cell r="E940" t="str">
            <v>Mentinere</v>
          </cell>
          <cell r="F940" t="str">
            <v>Mantenimiento</v>
          </cell>
          <cell r="G940" t="str">
            <v>Manutenção</v>
          </cell>
          <cell r="H940" t="str">
            <v xml:space="preserve"> --&gt; hungarian ?</v>
          </cell>
          <cell r="J940" t="str">
            <v xml:space="preserve"> </v>
          </cell>
        </row>
        <row r="941">
          <cell r="A941">
            <v>940</v>
          </cell>
          <cell r="B941" t="str">
            <v>Avec impulsion US de decollage</v>
          </cell>
          <cell r="C941" t="str">
            <v>With US impulse start off</v>
          </cell>
          <cell r="D941" t="str">
            <v xml:space="preserve"> --&gt; polish ?</v>
          </cell>
          <cell r="E941" t="str">
            <v>Cu un impuls US de decolare</v>
          </cell>
          <cell r="F941" t="str">
            <v>Con impulsión UD de arranque</v>
          </cell>
          <cell r="G941" t="str">
            <v>Com Implusão US de arranque</v>
          </cell>
          <cell r="H941" t="str">
            <v xml:space="preserve"> --&gt; hungarian ?</v>
          </cell>
          <cell r="J941" t="str">
            <v xml:space="preserve"> </v>
          </cell>
        </row>
        <row r="942">
          <cell r="A942">
            <v>941</v>
          </cell>
          <cell r="B942" t="str">
            <v>CONTROLES</v>
          </cell>
          <cell r="C942" t="str">
            <v>CHECKS</v>
          </cell>
          <cell r="D942" t="str">
            <v>KONTROLE</v>
          </cell>
          <cell r="E942" t="str">
            <v>Controale</v>
          </cell>
          <cell r="F942" t="str">
            <v>CONTROLES</v>
          </cell>
          <cell r="G942" t="str">
            <v>CONTROLO</v>
          </cell>
          <cell r="H942" t="str">
            <v>ELLENŐRZÉSÉS</v>
          </cell>
          <cell r="J942" t="str">
            <v xml:space="preserve"> </v>
          </cell>
        </row>
        <row r="943">
          <cell r="A943">
            <v>942</v>
          </cell>
          <cell r="B943" t="str">
            <v>Energie</v>
          </cell>
          <cell r="C943" t="str">
            <v>Energy</v>
          </cell>
          <cell r="D943" t="str">
            <v>Energia</v>
          </cell>
          <cell r="E943" t="str">
            <v xml:space="preserve">Energie </v>
          </cell>
          <cell r="F943" t="str">
            <v>Energía</v>
          </cell>
          <cell r="G943" t="str">
            <v>Energia</v>
          </cell>
          <cell r="H943" t="str">
            <v xml:space="preserve"> --&gt; hungarian ?</v>
          </cell>
          <cell r="J943" t="str">
            <v xml:space="preserve"> </v>
          </cell>
        </row>
        <row r="944">
          <cell r="A944">
            <v>943</v>
          </cell>
          <cell r="B944" t="str">
            <v>Enfoncement</v>
          </cell>
          <cell r="C944" t="str">
            <v>Press down</v>
          </cell>
          <cell r="D944" t="str">
            <v>Docisk</v>
          </cell>
          <cell r="E944" t="str">
            <v>Infigere</v>
          </cell>
          <cell r="F944" t="str">
            <v>Refuerzo</v>
          </cell>
          <cell r="G944" t="str">
            <v>Carregar</v>
          </cell>
          <cell r="H944" t="str">
            <v xml:space="preserve"> --&gt; hungarian ?</v>
          </cell>
          <cell r="J944" t="str">
            <v xml:space="preserve"> </v>
          </cell>
        </row>
        <row r="945">
          <cell r="A945">
            <v>944</v>
          </cell>
          <cell r="B945" t="str">
            <v>Réglage sensibilité dynamique (si départ US avant pièce)</v>
          </cell>
          <cell r="C945" t="str">
            <v>Dynamic sensitivity setting (if US Start before contact)</v>
          </cell>
          <cell r="D945" t="str">
            <v xml:space="preserve"> --&gt; polish ?</v>
          </cell>
          <cell r="E945" t="str">
            <v>Reglarea sensibilitatii dinamice( daca US porneste inaintea piesei)</v>
          </cell>
          <cell r="F945" t="str">
            <v>Reglaje sensibilidad dinámica 
(si inicio US antes pieza)</v>
          </cell>
          <cell r="G945" t="str">
            <v>Afinação ajustamento dinamico( se arranque US antes da peça)</v>
          </cell>
          <cell r="H945" t="str">
            <v xml:space="preserve"> --&gt; hungarian ?</v>
          </cell>
          <cell r="J945" t="str">
            <v xml:space="preserve"> </v>
          </cell>
        </row>
        <row r="946">
          <cell r="A946">
            <v>945</v>
          </cell>
          <cell r="B946" t="str">
            <v>Départ 2° vitesse</v>
          </cell>
          <cell r="C946" t="str">
            <v>2nd start speed</v>
          </cell>
          <cell r="D946" t="str">
            <v>Start 2 prędkość</v>
          </cell>
          <cell r="E946" t="str">
            <v>Pornire in viteza a 2-a</v>
          </cell>
          <cell r="F946" t="str">
            <v>Inicio 2º velocidad</v>
          </cell>
          <cell r="G946" t="str">
            <v>inicio 2ª. Velocidade</v>
          </cell>
          <cell r="H946" t="str">
            <v xml:space="preserve"> --&gt; hungarian ?</v>
          </cell>
          <cell r="J946" t="str">
            <v xml:space="preserve"> </v>
          </cell>
        </row>
        <row r="947">
          <cell r="A947">
            <v>946</v>
          </cell>
          <cell r="B947" t="str">
            <v>Amplitude d'amorçage</v>
          </cell>
          <cell r="C947" t="str">
            <v>Priming amplitude</v>
          </cell>
          <cell r="D947" t="str">
            <v>Amplituda gruntowania</v>
          </cell>
          <cell r="E947" t="str">
            <v>Amplitudinea de amorsare</v>
          </cell>
          <cell r="F947" t="str">
            <v>Amplitud inicio</v>
          </cell>
          <cell r="G947" t="str">
            <v>Amplitude de afinação</v>
          </cell>
          <cell r="H947" t="str">
            <v xml:space="preserve"> --&gt; hungarian ?</v>
          </cell>
          <cell r="J947" t="str">
            <v xml:space="preserve"> </v>
          </cell>
        </row>
        <row r="948">
          <cell r="A948">
            <v>947</v>
          </cell>
          <cell r="B948" t="str">
            <v>Amorçage</v>
          </cell>
          <cell r="C948" t="str">
            <v>Priming</v>
          </cell>
          <cell r="D948" t="str">
            <v>Gruntowanie</v>
          </cell>
          <cell r="E948" t="str">
            <v>Amorsare</v>
          </cell>
          <cell r="F948" t="str">
            <v>Inicio</v>
          </cell>
          <cell r="G948" t="str">
            <v>Amortecimento</v>
          </cell>
          <cell r="H948" t="str">
            <v xml:space="preserve"> --&gt; hungarian ?</v>
          </cell>
          <cell r="J948" t="str">
            <v xml:space="preserve"> </v>
          </cell>
        </row>
        <row r="949">
          <cell r="A949">
            <v>948</v>
          </cell>
          <cell r="B949" t="str">
            <v>Soudure</v>
          </cell>
          <cell r="C949" t="str">
            <v>Welding</v>
          </cell>
          <cell r="D949" t="str">
            <v>spawanie</v>
          </cell>
          <cell r="E949" t="str">
            <v>Sudura</v>
          </cell>
          <cell r="F949" t="str">
            <v>Soldadura</v>
          </cell>
          <cell r="G949" t="str">
            <v>Soldadura</v>
          </cell>
          <cell r="H949" t="str">
            <v xml:space="preserve"> --&gt; hungarian ?</v>
          </cell>
          <cell r="J949" t="str">
            <v xml:space="preserve"> </v>
          </cell>
        </row>
        <row r="950">
          <cell r="A950">
            <v>949</v>
          </cell>
          <cell r="B950" t="str">
            <v>Remontée</v>
          </cell>
          <cell r="C950" t="str">
            <v>Moving up</v>
          </cell>
          <cell r="D950" t="str">
            <v>W górę</v>
          </cell>
          <cell r="E950" t="str">
            <v>Ridicare</v>
          </cell>
          <cell r="F950" t="str">
            <v>Subida</v>
          </cell>
          <cell r="G950" t="str">
            <v>Subir</v>
          </cell>
          <cell r="H950" t="str">
            <v xml:space="preserve"> --&gt; hungarian ?</v>
          </cell>
          <cell r="J950" t="str">
            <v xml:space="preserve"> </v>
          </cell>
        </row>
        <row r="951">
          <cell r="A951">
            <v>950</v>
          </cell>
          <cell r="B951" t="str">
            <v>Puissance</v>
          </cell>
          <cell r="C951" t="str">
            <v>Power</v>
          </cell>
          <cell r="D951" t="str">
            <v>Moc</v>
          </cell>
          <cell r="E951" t="str">
            <v>Putere</v>
          </cell>
          <cell r="F951" t="str">
            <v>Potencia</v>
          </cell>
          <cell r="G951" t="str">
            <v>Potencia</v>
          </cell>
          <cell r="H951" t="str">
            <v>Képesség</v>
          </cell>
          <cell r="J951" t="str">
            <v xml:space="preserve"> </v>
          </cell>
        </row>
        <row r="952">
          <cell r="A952">
            <v>951</v>
          </cell>
          <cell r="B952" t="str">
            <v>% générateur</v>
          </cell>
          <cell r="C952" t="str">
            <v>Generator %</v>
          </cell>
          <cell r="D952" t="str">
            <v>Generator %</v>
          </cell>
          <cell r="E952" t="str">
            <v>% generator</v>
          </cell>
          <cell r="F952" t="str">
            <v>% generador</v>
          </cell>
          <cell r="G952" t="str">
            <v>% Generador</v>
          </cell>
          <cell r="H952" t="str">
            <v xml:space="preserve"> --&gt; hungarian ?</v>
          </cell>
          <cell r="J952" t="str">
            <v xml:space="preserve"> </v>
          </cell>
        </row>
        <row r="953">
          <cell r="A953">
            <v>952</v>
          </cell>
          <cell r="B953" t="str">
            <v>Avant contact</v>
          </cell>
          <cell r="C953" t="str">
            <v>Before contact</v>
          </cell>
          <cell r="D953" t="str">
            <v>Przed kontaktem</v>
          </cell>
          <cell r="E953" t="str">
            <v>Inainte de contact</v>
          </cell>
          <cell r="F953" t="str">
            <v>Antes de contacto</v>
          </cell>
          <cell r="G953" t="str">
            <v>Antes de contacto</v>
          </cell>
          <cell r="H953" t="str">
            <v xml:space="preserve"> --&gt; hungarian ?</v>
          </cell>
          <cell r="J953" t="str">
            <v xml:space="preserve"> </v>
          </cell>
        </row>
        <row r="954">
          <cell r="A954">
            <v>953</v>
          </cell>
          <cell r="B954" t="str">
            <v>Profil</v>
          </cell>
          <cell r="C954" t="str">
            <v>Profile</v>
          </cell>
          <cell r="D954" t="str">
            <v>Profil</v>
          </cell>
          <cell r="E954" t="str">
            <v>Profilul</v>
          </cell>
          <cell r="F954" t="str">
            <v>Perfil</v>
          </cell>
          <cell r="G954" t="str">
            <v>Perfil</v>
          </cell>
          <cell r="H954" t="str">
            <v xml:space="preserve"> --&gt; hungarian ?</v>
          </cell>
          <cell r="J954" t="str">
            <v xml:space="preserve"> </v>
          </cell>
        </row>
        <row r="955">
          <cell r="A955">
            <v>954</v>
          </cell>
          <cell r="J955" t="str">
            <v xml:space="preserve"> </v>
          </cell>
        </row>
        <row r="956">
          <cell r="A956">
            <v>955</v>
          </cell>
          <cell r="J956" t="str">
            <v xml:space="preserve"> </v>
          </cell>
        </row>
        <row r="957">
          <cell r="A957">
            <v>956</v>
          </cell>
          <cell r="J957" t="str">
            <v xml:space="preserve"> </v>
          </cell>
        </row>
        <row r="958">
          <cell r="A958">
            <v>957</v>
          </cell>
          <cell r="J958" t="str">
            <v xml:space="preserve"> </v>
          </cell>
        </row>
        <row r="959">
          <cell r="A959">
            <v>958</v>
          </cell>
          <cell r="J959" t="str">
            <v xml:space="preserve"> </v>
          </cell>
        </row>
        <row r="960">
          <cell r="A960">
            <v>959</v>
          </cell>
          <cell r="J960" t="str">
            <v xml:space="preserve"> </v>
          </cell>
        </row>
        <row r="961">
          <cell r="A961">
            <v>960</v>
          </cell>
          <cell r="B961" t="str">
            <v>FICHE DE REGLAGE (Type) ASSEMBLAGE</v>
          </cell>
          <cell r="C961" t="str">
            <v>Adjustment sheet (Type) ASSEMBLY</v>
          </cell>
          <cell r="D961" t="str">
            <v xml:space="preserve">KARTA NASTAW PARAMETRÓW MONTAŹ (Ogólna) </v>
          </cell>
          <cell r="E961" t="str">
            <v>FISA DE REGLARE (Tip) ASAMBLARE</v>
          </cell>
          <cell r="F961" t="str">
            <v>FICHA DE AJUSTE (Tipo) DE ENSAMBLAJE</v>
          </cell>
          <cell r="G961" t="str">
            <v>FICHA TÉCNICA  MONTAGEM</v>
          </cell>
          <cell r="H961" t="str">
            <v>TECHNOLÓGIAI LAP (típusonként) : SZERELÕ</v>
          </cell>
          <cell r="J961" t="str">
            <v xml:space="preserve"> </v>
          </cell>
        </row>
        <row r="962">
          <cell r="A962">
            <v>961</v>
          </cell>
          <cell r="J962" t="str">
            <v xml:space="preserve"> </v>
          </cell>
        </row>
        <row r="963">
          <cell r="A963">
            <v>962</v>
          </cell>
          <cell r="J963" t="str">
            <v xml:space="preserve"> </v>
          </cell>
        </row>
        <row r="964">
          <cell r="A964">
            <v>963</v>
          </cell>
          <cell r="J964" t="str">
            <v xml:space="preserve"> </v>
          </cell>
        </row>
        <row r="965">
          <cell r="A965">
            <v>964</v>
          </cell>
          <cell r="J965" t="str">
            <v xml:space="preserve"> </v>
          </cell>
        </row>
        <row r="966">
          <cell r="A966">
            <v>965</v>
          </cell>
          <cell r="J966" t="str">
            <v xml:space="preserve"> </v>
          </cell>
        </row>
        <row r="967">
          <cell r="A967">
            <v>966</v>
          </cell>
          <cell r="J967" t="str">
            <v xml:space="preserve"> </v>
          </cell>
        </row>
        <row r="968">
          <cell r="A968">
            <v>967</v>
          </cell>
          <cell r="J968" t="str">
            <v xml:space="preserve"> </v>
          </cell>
        </row>
        <row r="969">
          <cell r="A969">
            <v>968</v>
          </cell>
          <cell r="J969" t="str">
            <v xml:space="preserve"> </v>
          </cell>
        </row>
        <row r="970">
          <cell r="A970">
            <v>969</v>
          </cell>
          <cell r="J970" t="str">
            <v xml:space="preserve"> </v>
          </cell>
        </row>
        <row r="971">
          <cell r="A971">
            <v>970</v>
          </cell>
          <cell r="B971" t="str">
            <v>Destinataire</v>
          </cell>
          <cell r="C971" t="str">
            <v>Consignee</v>
          </cell>
          <cell r="D971" t="str">
            <v>Odbiorca</v>
          </cell>
          <cell r="E971" t="str">
            <v>Client</v>
          </cell>
          <cell r="F971" t="str">
            <v>Destinatario</v>
          </cell>
          <cell r="G971" t="str">
            <v>Destinatário</v>
          </cell>
          <cell r="H971" t="str">
            <v>Címzett</v>
          </cell>
          <cell r="J971" t="str">
            <v xml:space="preserve"> </v>
          </cell>
        </row>
        <row r="972">
          <cell r="A972">
            <v>971</v>
          </cell>
          <cell r="B972" t="str">
            <v>Lieu de livraison</v>
          </cell>
          <cell r="C972" t="str">
            <v>Delivery place</v>
          </cell>
          <cell r="D972" t="str">
            <v>Miejsce dostawy</v>
          </cell>
          <cell r="E972" t="str">
            <v>Loc de livrare</v>
          </cell>
          <cell r="F972" t="str">
            <v>Sitio de entrega</v>
          </cell>
          <cell r="G972" t="str">
            <v>Local de entrega</v>
          </cell>
          <cell r="H972" t="str">
            <v>Címez szállítás</v>
          </cell>
          <cell r="J972" t="str">
            <v xml:space="preserve"> </v>
          </cell>
        </row>
        <row r="973">
          <cell r="A973">
            <v>972</v>
          </cell>
          <cell r="B973" t="str">
            <v>Adresse expéditeur</v>
          </cell>
          <cell r="C973" t="str">
            <v>Consignor address</v>
          </cell>
          <cell r="D973" t="str">
            <v>Adres nadawcy</v>
          </cell>
          <cell r="E973" t="str">
            <v>Adresa de client</v>
          </cell>
          <cell r="F973" t="str">
            <v>Dirección expeditor</v>
          </cell>
          <cell r="G973" t="str">
            <v>Morada de Fornecedor</v>
          </cell>
          <cell r="H973" t="str">
            <v xml:space="preserve"> --&gt; hungarian ?</v>
          </cell>
          <cell r="J973" t="str">
            <v xml:space="preserve"> </v>
          </cell>
        </row>
        <row r="974">
          <cell r="A974">
            <v>973</v>
          </cell>
          <cell r="B974" t="str">
            <v>Poids net</v>
          </cell>
          <cell r="C974" t="str">
            <v>Net weight</v>
          </cell>
          <cell r="D974" t="str">
            <v>Waga netto</v>
          </cell>
          <cell r="E974" t="str">
            <v>Greutate neta</v>
          </cell>
          <cell r="F974" t="str">
            <v>Peso neto</v>
          </cell>
          <cell r="G974" t="str">
            <v>Peso Liquido</v>
          </cell>
          <cell r="H974" t="str">
            <v>Net tömeg</v>
          </cell>
          <cell r="J974" t="str">
            <v xml:space="preserve"> </v>
          </cell>
        </row>
        <row r="975">
          <cell r="A975">
            <v>974</v>
          </cell>
          <cell r="B975" t="str">
            <v>Poids brut</v>
          </cell>
          <cell r="C975" t="str">
            <v>Gross weight</v>
          </cell>
          <cell r="D975" t="str">
            <v>Waga brutto</v>
          </cell>
          <cell r="E975" t="str">
            <v>Greutate bruta</v>
          </cell>
          <cell r="F975" t="str">
            <v>Peso bruto</v>
          </cell>
          <cell r="G975" t="str">
            <v>Peso bruto</v>
          </cell>
          <cell r="H975" t="str">
            <v>Gross tömeg</v>
          </cell>
          <cell r="J975" t="str">
            <v xml:space="preserve"> </v>
          </cell>
        </row>
        <row r="976">
          <cell r="A976">
            <v>975</v>
          </cell>
          <cell r="B976" t="str">
            <v>Nb boites</v>
          </cell>
          <cell r="C976" t="str">
            <v>Boxes quantity</v>
          </cell>
          <cell r="D976" t="str">
            <v>Liczba opakowań</v>
          </cell>
          <cell r="E976" t="str">
            <v>Cantitate cutii</v>
          </cell>
          <cell r="F976" t="str">
            <v>Nº de bultos</v>
          </cell>
          <cell r="G976" t="str">
            <v>Nº. De caixas</v>
          </cell>
          <cell r="H976" t="str">
            <v xml:space="preserve"> --&gt; hungarian ?</v>
          </cell>
          <cell r="J976" t="str">
            <v xml:space="preserve"> </v>
          </cell>
        </row>
        <row r="977">
          <cell r="A977">
            <v>976</v>
          </cell>
          <cell r="B977" t="str">
            <v>No produit</v>
          </cell>
          <cell r="C977" t="str">
            <v>Product nbr</v>
          </cell>
          <cell r="D977" t="str">
            <v>Nr produkt</v>
          </cell>
          <cell r="E977" t="str">
            <v>Nr. produs</v>
          </cell>
          <cell r="F977" t="str">
            <v>N° producto</v>
          </cell>
          <cell r="G977" t="str">
            <v>Ref. Produto</v>
          </cell>
          <cell r="H977" t="str">
            <v>Szer sz.</v>
          </cell>
          <cell r="J977" t="str">
            <v xml:space="preserve"> </v>
          </cell>
        </row>
        <row r="978">
          <cell r="A978">
            <v>977</v>
          </cell>
          <cell r="B978" t="str">
            <v>No AVIEXP</v>
          </cell>
          <cell r="C978" t="str">
            <v>ADVICE NOTE</v>
          </cell>
          <cell r="D978" t="str">
            <v>AWIZO</v>
          </cell>
          <cell r="E978" t="str">
            <v>Nota de livrare</v>
          </cell>
          <cell r="F978" t="str">
            <v>Nota de aviso</v>
          </cell>
          <cell r="G978" t="str">
            <v>Nº guia de Remessa</v>
          </cell>
          <cell r="H978" t="str">
            <v xml:space="preserve"> --&gt; hungarian ?</v>
          </cell>
          <cell r="J978" t="str">
            <v xml:space="preserve"> </v>
          </cell>
        </row>
        <row r="979">
          <cell r="A979">
            <v>978</v>
          </cell>
          <cell r="B979" t="str">
            <v>N° Etiquette</v>
          </cell>
          <cell r="C979" t="str">
            <v>Label Nbr</v>
          </cell>
          <cell r="D979" t="str">
            <v>Numer etykiety</v>
          </cell>
          <cell r="E979" t="str">
            <v>Numar eticheta</v>
          </cell>
          <cell r="F979" t="str">
            <v>Nº etiqueta</v>
          </cell>
          <cell r="G979" t="str">
            <v xml:space="preserve">Nº da Etiqueta </v>
          </cell>
          <cell r="H979" t="str">
            <v>Címke sz.</v>
          </cell>
          <cell r="J979" t="str">
            <v xml:space="preserve"> </v>
          </cell>
        </row>
        <row r="980">
          <cell r="A980">
            <v>979</v>
          </cell>
          <cell r="B980" t="str">
            <v>Adresse</v>
          </cell>
          <cell r="C980" t="str">
            <v>Address</v>
          </cell>
          <cell r="D980" t="str">
            <v>Adres</v>
          </cell>
          <cell r="E980" t="str">
            <v>Adresa</v>
          </cell>
          <cell r="F980" t="str">
            <v>Dirección</v>
          </cell>
          <cell r="G980" t="str">
            <v>Endereço</v>
          </cell>
          <cell r="H980" t="str">
            <v xml:space="preserve"> --&gt; hungarian ?</v>
          </cell>
          <cell r="J980" t="str">
            <v xml:space="preserve"> </v>
          </cell>
        </row>
        <row r="981">
          <cell r="A981">
            <v>980</v>
          </cell>
          <cell r="B981" t="str">
            <v>Reference fournisseur</v>
          </cell>
          <cell r="C981" t="str">
            <v>Supplier reference</v>
          </cell>
          <cell r="D981" t="str">
            <v>Podpis dostawcy</v>
          </cell>
          <cell r="E981" t="str">
            <v>Referinta furnizor</v>
          </cell>
          <cell r="F981" t="str">
            <v>Referencia proveedor</v>
          </cell>
          <cell r="G981" t="str">
            <v>Referencia do Fornecedor</v>
          </cell>
          <cell r="H981" t="str">
            <v>beszállítói reference</v>
          </cell>
          <cell r="J981" t="str">
            <v xml:space="preserve"> </v>
          </cell>
        </row>
        <row r="982">
          <cell r="A982">
            <v>981</v>
          </cell>
          <cell r="B982" t="str">
            <v>Indice modification</v>
          </cell>
          <cell r="C982" t="str">
            <v xml:space="preserve">Engineer Change </v>
          </cell>
          <cell r="D982" t="str">
            <v>Zmiana konstrukcyjna</v>
          </cell>
          <cell r="E982" t="str">
            <v>Nivel de revizie</v>
          </cell>
          <cell r="F982" t="str">
            <v>Indice de modificación</v>
          </cell>
          <cell r="G982" t="str">
            <v>Nivel de Engenharia</v>
          </cell>
          <cell r="H982" t="str">
            <v xml:space="preserve"> --&gt; hungarian ?</v>
          </cell>
          <cell r="I982" t="str">
            <v>Modifikácia index</v>
          </cell>
          <cell r="J982" t="str">
            <v xml:space="preserve"> </v>
          </cell>
        </row>
        <row r="983">
          <cell r="A983">
            <v>982</v>
          </cell>
          <cell r="B983" t="str">
            <v>N° Carton</v>
          </cell>
          <cell r="C983" t="str">
            <v>Box Nbr</v>
          </cell>
          <cell r="D983" t="str">
            <v>Numer opakowania</v>
          </cell>
          <cell r="E983" t="str">
            <v>Numar cutie</v>
          </cell>
          <cell r="F983" t="str">
            <v>Nº cajas</v>
          </cell>
          <cell r="G983" t="str">
            <v>Nº. da caixa</v>
          </cell>
          <cell r="H983" t="str">
            <v xml:space="preserve"> --&gt; hungarian ?</v>
          </cell>
          <cell r="J983" t="str">
            <v xml:space="preserve"> </v>
          </cell>
        </row>
        <row r="984">
          <cell r="A984">
            <v>983</v>
          </cell>
          <cell r="B984" t="str">
            <v>Tache d'eau, graisse</v>
          </cell>
          <cell r="C984" t="str">
            <v>Water mark, grease</v>
          </cell>
          <cell r="E984" t="str">
            <v>Urma de apa;vaselina</v>
          </cell>
          <cell r="J984" t="str">
            <v xml:space="preserve"> </v>
          </cell>
        </row>
        <row r="985">
          <cell r="A985">
            <v>984</v>
          </cell>
          <cell r="B985" t="str">
            <v>Détérioration (choc, rayure)</v>
          </cell>
          <cell r="C985" t="str">
            <v>Deterioration (impact, scratches)</v>
          </cell>
          <cell r="E985" t="str">
            <v>Deteriorare (soc,zgarieturi)</v>
          </cell>
          <cell r="F985" t="str">
            <v>Deterioro ( golpes, rayas)</v>
          </cell>
          <cell r="G985" t="str">
            <v>Peça danificada( choque , risco)</v>
          </cell>
          <cell r="I985" t="str">
            <v>Škrabance, obuchy</v>
          </cell>
          <cell r="J985" t="str">
            <v xml:space="preserve"> </v>
          </cell>
        </row>
        <row r="986">
          <cell r="A986">
            <v>985</v>
          </cell>
          <cell r="B986" t="str">
            <v>Défaut de montage</v>
          </cell>
          <cell r="C986" t="str">
            <v>Assembly defect</v>
          </cell>
          <cell r="E986" t="str">
            <v>Defect de montaj</v>
          </cell>
          <cell r="F986" t="str">
            <v>Defecto de montaje</v>
          </cell>
          <cell r="G986" t="str">
            <v>Defeito de montagem</v>
          </cell>
          <cell r="I986" t="str">
            <v>Montážny defekt</v>
          </cell>
          <cell r="J986" t="str">
            <v xml:space="preserve"> </v>
          </cell>
        </row>
        <row r="987">
          <cell r="A987">
            <v>986</v>
          </cell>
          <cell r="B987" t="str">
            <v>Défaut de décoration</v>
          </cell>
          <cell r="C987" t="str">
            <v>Decoration defect</v>
          </cell>
          <cell r="E987" t="str">
            <v>Defect de decorare</v>
          </cell>
          <cell r="F987" t="str">
            <v>Defecto de decoración</v>
          </cell>
          <cell r="G987" t="str">
            <v>Defeito de decoração</v>
          </cell>
          <cell r="I987" t="str">
            <v>Aspekt</v>
          </cell>
          <cell r="J987" t="str">
            <v xml:space="preserve"> </v>
          </cell>
        </row>
        <row r="988">
          <cell r="A988">
            <v>987</v>
          </cell>
          <cell r="B988" t="str">
            <v>Pièces démarrage / d'essais</v>
          </cell>
          <cell r="C988" t="str">
            <v>Starting / Trial parts</v>
          </cell>
          <cell r="E988" t="str">
            <v>Piesa de demaraj:de test</v>
          </cell>
          <cell r="F988" t="str">
            <v>Piezas de inicio / pruebas</v>
          </cell>
          <cell r="G988" t="str">
            <v>Peças de arranque/ Peças de ensaio</v>
          </cell>
          <cell r="I988" t="str">
            <v>Kusy zo spúšťania/test</v>
          </cell>
          <cell r="J988" t="str">
            <v xml:space="preserve"> </v>
          </cell>
        </row>
        <row r="989">
          <cell r="A989">
            <v>988</v>
          </cell>
          <cell r="J989" t="str">
            <v xml:space="preserve"> </v>
          </cell>
        </row>
        <row r="990">
          <cell r="A990">
            <v>989</v>
          </cell>
          <cell r="J990" t="str">
            <v xml:space="preserve"> </v>
          </cell>
        </row>
        <row r="991">
          <cell r="A991">
            <v>990</v>
          </cell>
          <cell r="B991" t="str">
            <v>Défaut de position</v>
          </cell>
          <cell r="C991" t="str">
            <v>Defect position</v>
          </cell>
          <cell r="D991" t="str">
            <v>Defekt Pozycji</v>
          </cell>
          <cell r="E991" t="str">
            <v>Defect de pozitie</v>
          </cell>
          <cell r="F991" t="str">
            <v>Defecto posición</v>
          </cell>
          <cell r="G991" t="str">
            <v>Defeito de posição</v>
          </cell>
          <cell r="H991" t="str">
            <v xml:space="preserve"> --&gt; hungarian ?</v>
          </cell>
          <cell r="J991" t="str">
            <v xml:space="preserve"> </v>
          </cell>
        </row>
        <row r="992">
          <cell r="A992">
            <v>991</v>
          </cell>
          <cell r="B992" t="str">
            <v>Mesurer</v>
          </cell>
          <cell r="C992" t="str">
            <v>Measure</v>
          </cell>
          <cell r="D992" t="str">
            <v xml:space="preserve">Mierzyć </v>
          </cell>
          <cell r="E992" t="str">
            <v>Masurati</v>
          </cell>
          <cell r="F992" t="str">
            <v>Medir</v>
          </cell>
          <cell r="G992" t="str">
            <v>Medir</v>
          </cell>
          <cell r="H992" t="str">
            <v>Mér</v>
          </cell>
          <cell r="J992" t="str">
            <v xml:space="preserve"> </v>
          </cell>
        </row>
        <row r="993">
          <cell r="A993">
            <v>992</v>
          </cell>
          <cell r="J993" t="str">
            <v xml:space="preserve"> </v>
          </cell>
        </row>
        <row r="994">
          <cell r="A994">
            <v>993</v>
          </cell>
          <cell r="B994" t="str">
            <v>Auréoles, Manque peinture</v>
          </cell>
          <cell r="C994" t="str">
            <v>Ring, Lack of painting</v>
          </cell>
          <cell r="E994" t="str">
            <v>Umbra,lipsa vopsea</v>
          </cell>
          <cell r="F994" t="str">
            <v>Aureolas / falta de pintura</v>
          </cell>
          <cell r="G994" t="str">
            <v>Auréolas, Falta de tinta</v>
          </cell>
          <cell r="I994" t="str">
            <v>Nedostrek</v>
          </cell>
          <cell r="J994" t="str">
            <v xml:space="preserve"> </v>
          </cell>
        </row>
        <row r="995">
          <cell r="A995">
            <v>994</v>
          </cell>
          <cell r="B995" t="str">
            <v>Coulures</v>
          </cell>
          <cell r="C995" t="str">
            <v>Run</v>
          </cell>
          <cell r="E995" t="str">
            <v>Scurgere</v>
          </cell>
          <cell r="F995" t="str">
            <v>Goteo</v>
          </cell>
          <cell r="G995" t="str">
            <v>Escorridos</v>
          </cell>
          <cell r="I995" t="str">
            <v>Stekanec</v>
          </cell>
          <cell r="J995" t="str">
            <v xml:space="preserve"> </v>
          </cell>
        </row>
        <row r="996">
          <cell r="A996">
            <v>995</v>
          </cell>
          <cell r="B996" t="str">
            <v>Gouttes vernis</v>
          </cell>
          <cell r="C996" t="str">
            <v>Varnish drops</v>
          </cell>
          <cell r="E996" t="str">
            <v>picatura de lac de protectie vopsea</v>
          </cell>
          <cell r="F996" t="str">
            <v>Gotas vaniz</v>
          </cell>
          <cell r="G996" t="str">
            <v>Escorridos de Vernis</v>
          </cell>
          <cell r="I996" t="str">
            <v>Kvapka laku</v>
          </cell>
          <cell r="J996" t="str">
            <v xml:space="preserve"> </v>
          </cell>
        </row>
        <row r="997">
          <cell r="A997">
            <v>996</v>
          </cell>
          <cell r="B997" t="str">
            <v>Grains</v>
          </cell>
          <cell r="C997" t="str">
            <v>Particle</v>
          </cell>
          <cell r="E997" t="str">
            <v>puncte</v>
          </cell>
          <cell r="F997" t="str">
            <v>Granos</v>
          </cell>
          <cell r="G997" t="str">
            <v>Grãos</v>
          </cell>
          <cell r="I997" t="str">
            <v>Zrná</v>
          </cell>
          <cell r="J997" t="str">
            <v xml:space="preserve"> </v>
          </cell>
        </row>
        <row r="998">
          <cell r="A998">
            <v>997</v>
          </cell>
          <cell r="B998" t="str">
            <v>Fibres</v>
          </cell>
          <cell r="C998" t="str">
            <v>Fiber</v>
          </cell>
          <cell r="E998" t="str">
            <v>fibre</v>
          </cell>
          <cell r="F998" t="str">
            <v>Fibras</v>
          </cell>
          <cell r="G998" t="str">
            <v>Pelos</v>
          </cell>
          <cell r="I998" t="str">
            <v>Vlasy</v>
          </cell>
          <cell r="J998" t="str">
            <v xml:space="preserve"> </v>
          </cell>
        </row>
        <row r="999">
          <cell r="A999">
            <v>998</v>
          </cell>
          <cell r="J999" t="str">
            <v xml:space="preserve"> </v>
          </cell>
        </row>
        <row r="1000">
          <cell r="A1000">
            <v>999</v>
          </cell>
          <cell r="J1000" t="str">
            <v xml:space="preserve"> </v>
          </cell>
        </row>
        <row r="1001">
          <cell r="A1001">
            <v>1000</v>
          </cell>
          <cell r="B1001" t="str">
            <v>FICHE DE REGLAGE INJECTION (Type) : DEMAG</v>
          </cell>
          <cell r="C1001" t="str">
            <v>INJECTION ADJUSTMENT SHEET (Type) : DEMAG</v>
          </cell>
          <cell r="D1001" t="str">
            <v>KARTA REGULACJI WTRYSKU  (Ogólna) : DEMAG</v>
          </cell>
          <cell r="E1001" t="str">
            <v>FISA DE REGLAJ INJECTIEI (Tip) : DEMAG</v>
          </cell>
          <cell r="F1001" t="str">
            <v>FICHA DE REGLAJE INYECCIÓN (Tipo) : DEMAG</v>
          </cell>
          <cell r="G1001" t="str">
            <v>FICHA TECNICA DE INJECÇÃO MAQ. DEMAG</v>
          </cell>
          <cell r="H1001" t="str">
            <v>FRÖCCSÖNTÕ TECHNOLÓGIAI LAP (típusonként) : DEMAG</v>
          </cell>
          <cell r="J1001" t="str">
            <v xml:space="preserve"> </v>
          </cell>
        </row>
        <row r="1002">
          <cell r="A1002">
            <v>1001</v>
          </cell>
          <cell r="B1002" t="str">
            <v>MOULE &amp; EJECTION</v>
          </cell>
          <cell r="C1002" t="str">
            <v>mould &amp; EJECTION</v>
          </cell>
          <cell r="D1002" t="str">
            <v>FORMY &amp; WYPYCHACZE</v>
          </cell>
          <cell r="E1002" t="str">
            <v>TURNARE&amp;ARUNCARE</v>
          </cell>
          <cell r="F1002" t="str">
            <v>MOLDE &amp; expulsión</v>
          </cell>
          <cell r="G1002" t="str">
            <v>MOLDE  &amp; INJECÇÃO</v>
          </cell>
          <cell r="H1002" t="str">
            <v>SZERSZAM &amp; KILÖKÕ</v>
          </cell>
          <cell r="I1002" t="str">
            <v>FORMY &amp; VYHADZOVAČ</v>
          </cell>
          <cell r="J1002" t="str">
            <v xml:space="preserve"> </v>
          </cell>
        </row>
        <row r="1003">
          <cell r="A1003">
            <v>1002</v>
          </cell>
          <cell r="B1003" t="str">
            <v>INJECTION &amp; UNITE INJECTION (U. I.)</v>
          </cell>
          <cell r="C1003" t="str">
            <v>INJECTION &amp; INJECTION UNIT (I. U.)</v>
          </cell>
          <cell r="D1003" t="str">
            <v>WTRYSK &amp; JEDNOSTKI WTRYSKU</v>
          </cell>
          <cell r="E1003" t="str">
            <v>INJECTARE&amp;UNITATE DE INJECTIE(U.I.)</v>
          </cell>
          <cell r="F1003" t="str">
            <v>Inyección &amp; unidad de inyección (U.I.)</v>
          </cell>
          <cell r="G1003" t="str">
            <v>INJECÇÃO E UNIDADE DE INJECÇÃO</v>
          </cell>
          <cell r="H1003" t="str">
            <v xml:space="preserve"> --&gt; hungarian ?</v>
          </cell>
          <cell r="I1003" t="str">
            <v>VSTREKOVANIE &amp;</v>
          </cell>
          <cell r="J1003" t="str">
            <v xml:space="preserve"> </v>
          </cell>
        </row>
        <row r="1004">
          <cell r="A1004">
            <v>1003</v>
          </cell>
          <cell r="B1004" t="str">
            <v>Vitesse ouverture V1 :</v>
          </cell>
          <cell r="C1004" t="str">
            <v>Opening speed V1 :</v>
          </cell>
          <cell r="D1004" t="str">
            <v>Prędkość otwarcia V1 :</v>
          </cell>
          <cell r="E1004" t="str">
            <v>Viteza de deschidere V1:</v>
          </cell>
          <cell r="F1004" t="str">
            <v>Velocidad de apertura V1:</v>
          </cell>
          <cell r="G1004" t="str">
            <v>Velocidade de Abertura</v>
          </cell>
          <cell r="H1004" t="str">
            <v xml:space="preserve"> --&gt; hungarian ?</v>
          </cell>
          <cell r="I1004" t="str">
            <v>Rýchlosť otváranie V1 :</v>
          </cell>
          <cell r="J1004" t="str">
            <v xml:space="preserve"> </v>
          </cell>
        </row>
        <row r="1005">
          <cell r="A1005">
            <v>1004</v>
          </cell>
          <cell r="B1005" t="str">
            <v>Départ vitesse V2 :</v>
          </cell>
          <cell r="C1005" t="str">
            <v>Start speed V2 :</v>
          </cell>
          <cell r="D1005" t="str">
            <v>Prędkość początkowa V2:</v>
          </cell>
          <cell r="E1005" t="str">
            <v>Viteza de pornire V2:</v>
          </cell>
          <cell r="F1005" t="str">
            <v>Inicio velocidad V2:</v>
          </cell>
          <cell r="G1005" t="str">
            <v>Inicio V2</v>
          </cell>
          <cell r="H1005" t="str">
            <v xml:space="preserve"> --&gt; hungarian ?</v>
          </cell>
          <cell r="J1005" t="str">
            <v xml:space="preserve"> </v>
          </cell>
        </row>
        <row r="1006">
          <cell r="A1006">
            <v>1005</v>
          </cell>
          <cell r="B1006" t="str">
            <v>Stop</v>
          </cell>
          <cell r="C1006" t="str">
            <v>Stop</v>
          </cell>
          <cell r="D1006" t="str">
            <v>Stop</v>
          </cell>
          <cell r="E1006" t="str">
            <v>Stop</v>
          </cell>
          <cell r="F1006" t="str">
            <v>Parada</v>
          </cell>
          <cell r="G1006" t="str">
            <v>Paragem</v>
          </cell>
          <cell r="H1006" t="str">
            <v>Stop</v>
          </cell>
          <cell r="J1006" t="str">
            <v xml:space="preserve"> </v>
          </cell>
        </row>
        <row r="1007">
          <cell r="A1007">
            <v>1006</v>
          </cell>
          <cell r="B1007" t="str">
            <v>Force de sécurité :</v>
          </cell>
          <cell r="C1007" t="str">
            <v>Safety force :</v>
          </cell>
          <cell r="D1007" t="str">
            <v>Siła bezpieczeństwa</v>
          </cell>
          <cell r="E1007" t="str">
            <v>Forta de securitate:</v>
          </cell>
          <cell r="F1007" t="str">
            <v>Fuerza de seguridad</v>
          </cell>
          <cell r="G1007" t="str">
            <v>Força de Segurança</v>
          </cell>
          <cell r="H1007" t="str">
            <v xml:space="preserve"> --&gt; hungarian ?</v>
          </cell>
          <cell r="J1007" t="str">
            <v xml:space="preserve"> </v>
          </cell>
        </row>
        <row r="1008">
          <cell r="A1008">
            <v>1007</v>
          </cell>
          <cell r="B1008" t="str">
            <v>Répétition sécurité moule :</v>
          </cell>
          <cell r="C1008" t="str">
            <v>mould safety repeat :</v>
          </cell>
          <cell r="D1008" t="str">
            <v>Zabezpieczenie formy</v>
          </cell>
          <cell r="E1008" t="str">
            <v>Repetarea securitatii matritei</v>
          </cell>
          <cell r="F1008" t="str">
            <v>Repetición molde seguridad</v>
          </cell>
          <cell r="G1008" t="str">
            <v>Repetição segurança de molde</v>
          </cell>
          <cell r="H1008" t="str">
            <v xml:space="preserve"> --&gt; hungarian ?</v>
          </cell>
          <cell r="J1008" t="str">
            <v xml:space="preserve"> </v>
          </cell>
        </row>
        <row r="1009">
          <cell r="A1009">
            <v>1008</v>
          </cell>
          <cell r="B1009" t="str">
            <v>Retard éjection :</v>
          </cell>
          <cell r="C1009" t="str">
            <v>Ejection delay :</v>
          </cell>
          <cell r="D1009" t="str">
            <v>Opóźnienie wypychania</v>
          </cell>
          <cell r="E1009" t="str">
            <v>Intarzierea aruncarii</v>
          </cell>
          <cell r="F1009" t="str">
            <v>Retraso expulsión:</v>
          </cell>
          <cell r="G1009" t="str">
            <v>Atraso na extracção</v>
          </cell>
          <cell r="H1009" t="str">
            <v xml:space="preserve"> --&gt; hungarian ?</v>
          </cell>
          <cell r="J1009" t="str">
            <v xml:space="preserve"> </v>
          </cell>
        </row>
        <row r="1010">
          <cell r="A1010">
            <v>1009</v>
          </cell>
          <cell r="B1010" t="str">
            <v>Départ éjecteur :</v>
          </cell>
          <cell r="C1010" t="str">
            <v>Ejector start :</v>
          </cell>
          <cell r="D1010" t="str">
            <v>Początek Wypychania</v>
          </cell>
          <cell r="E1010" t="str">
            <v>Pornirea aruncatorului</v>
          </cell>
          <cell r="F1010" t="str">
            <v>Salida expulsor:</v>
          </cell>
          <cell r="G1010" t="str">
            <v>Inicio da extracção</v>
          </cell>
          <cell r="H1010" t="str">
            <v xml:space="preserve"> --&gt; hungarian ?</v>
          </cell>
          <cell r="J1010" t="str">
            <v xml:space="preserve"> </v>
          </cell>
        </row>
        <row r="1011">
          <cell r="A1011">
            <v>1010</v>
          </cell>
          <cell r="B1011" t="str">
            <v>Avance éjection</v>
          </cell>
          <cell r="C1011" t="str">
            <v>Ejection forward</v>
          </cell>
          <cell r="D1011" t="str">
            <v>Wypychacz z przodu</v>
          </cell>
          <cell r="E1011" t="str">
            <v>Avansul aruncarii</v>
          </cell>
          <cell r="F1011" t="str">
            <v>Avance expulsión</v>
          </cell>
          <cell r="G1011" t="str">
            <v>Anvanço da extracção</v>
          </cell>
          <cell r="H1011" t="str">
            <v xml:space="preserve"> --&gt; hungarian ?</v>
          </cell>
          <cell r="J1011" t="str">
            <v xml:space="preserve"> </v>
          </cell>
        </row>
        <row r="1012">
          <cell r="A1012">
            <v>1011</v>
          </cell>
          <cell r="B1012" t="str">
            <v>Départ V2 :</v>
          </cell>
          <cell r="C1012" t="str">
            <v>Start V2 :</v>
          </cell>
          <cell r="D1012" t="str">
            <v>Start V2</v>
          </cell>
          <cell r="E1012" t="str">
            <v>Pornirea V2:</v>
          </cell>
          <cell r="F1012" t="str">
            <v>Salida V2:</v>
          </cell>
          <cell r="G1012" t="str">
            <v>Inicio V2</v>
          </cell>
          <cell r="H1012" t="str">
            <v xml:space="preserve"> --&gt; hungarian ?</v>
          </cell>
          <cell r="J1012" t="str">
            <v xml:space="preserve"> </v>
          </cell>
        </row>
        <row r="1013">
          <cell r="A1013">
            <v>1012</v>
          </cell>
          <cell r="B1013" t="str">
            <v>Retour éjection Pression :</v>
          </cell>
          <cell r="C1013" t="str">
            <v>Ejection return Pressure :</v>
          </cell>
          <cell r="D1013" t="str">
            <v>Powrót ciśnienia wypychacza</v>
          </cell>
          <cell r="E1013" t="str">
            <v>Presiune de intoarcere aruncatoare:</v>
          </cell>
          <cell r="F1013" t="str">
            <v>Presión retorno expulsión:</v>
          </cell>
          <cell r="G1013" t="str">
            <v>Pressão de retorno da extracção</v>
          </cell>
          <cell r="H1013" t="str">
            <v>Kilökő return nyomás :</v>
          </cell>
          <cell r="J1013" t="str">
            <v xml:space="preserve"> </v>
          </cell>
        </row>
        <row r="1014">
          <cell r="A1014">
            <v>1013</v>
          </cell>
          <cell r="B1014" t="str">
            <v>Stop retour :</v>
          </cell>
          <cell r="C1014" t="str">
            <v>Return stop :</v>
          </cell>
          <cell r="D1014" t="str">
            <v>Powrót Stop</v>
          </cell>
          <cell r="E1014" t="str">
            <v>Stop intoacere:</v>
          </cell>
          <cell r="F1014" t="str">
            <v>Paro retorno:</v>
          </cell>
          <cell r="G1014" t="str">
            <v xml:space="preserve">Fim do recuo </v>
          </cell>
          <cell r="H1014" t="str">
            <v xml:space="preserve"> --&gt; hungarian ?</v>
          </cell>
          <cell r="J1014" t="str">
            <v xml:space="preserve"> </v>
          </cell>
        </row>
        <row r="1015">
          <cell r="A1015">
            <v>1014</v>
          </cell>
          <cell r="B1015" t="str">
            <v>Stop multiple :</v>
          </cell>
          <cell r="C1015" t="str">
            <v>Multiple stop :</v>
          </cell>
          <cell r="D1015" t="str">
            <v>Wielokrotny Stop</v>
          </cell>
          <cell r="E1015" t="str">
            <v>Stop multiplu:</v>
          </cell>
          <cell r="F1015" t="str">
            <v>Paro multiple:</v>
          </cell>
          <cell r="G1015" t="str">
            <v>Paragem multipla</v>
          </cell>
          <cell r="H1015" t="str">
            <v xml:space="preserve"> --&gt; hungarian ?</v>
          </cell>
          <cell r="J1015" t="str">
            <v xml:space="preserve"> </v>
          </cell>
        </row>
        <row r="1016">
          <cell r="A1016">
            <v>1015</v>
          </cell>
          <cell r="B1016" t="str">
            <v>Ejection multiple : nombre :</v>
          </cell>
          <cell r="C1016" t="str">
            <v>Multiple ejection : quantity :</v>
          </cell>
          <cell r="D1016" t="str">
            <v>Wyrzut wielokrotny : Ilość</v>
          </cell>
          <cell r="E1016" t="str">
            <v>Aruncare mulipla: numar:</v>
          </cell>
          <cell r="F1016" t="str">
            <v>Expulsión multiple: cantidad</v>
          </cell>
          <cell r="G1016" t="str">
            <v>Extracção multipla - Nº.</v>
          </cell>
          <cell r="H1016" t="str">
            <v xml:space="preserve"> --&gt; hungarian ?</v>
          </cell>
          <cell r="J1016" t="str">
            <v xml:space="preserve"> </v>
          </cell>
        </row>
        <row r="1017">
          <cell r="A1017">
            <v>1016</v>
          </cell>
          <cell r="B1017" t="str">
            <v>Temps pause :</v>
          </cell>
          <cell r="C1017" t="str">
            <v>Pause time :</v>
          </cell>
          <cell r="D1017" t="str">
            <v>Czas Stop</v>
          </cell>
          <cell r="E1017" t="str">
            <v>Perioada de pauza:</v>
          </cell>
          <cell r="F1017" t="str">
            <v>Tiempo de pausa</v>
          </cell>
          <cell r="G1017" t="str">
            <v>Tempo de paragem</v>
          </cell>
          <cell r="H1017" t="str">
            <v xml:space="preserve"> --&gt; hungarian ?</v>
          </cell>
          <cell r="J1017" t="str">
            <v xml:space="preserve"> </v>
          </cell>
        </row>
        <row r="1018">
          <cell r="A1018">
            <v>1017</v>
          </cell>
          <cell r="B1018" t="str">
            <v>Temps blocage :</v>
          </cell>
          <cell r="C1018" t="str">
            <v>Locking time :</v>
          </cell>
          <cell r="D1018" t="str">
            <v>Czas zablokowany</v>
          </cell>
          <cell r="E1018" t="str">
            <v>Perioada de blocare:</v>
          </cell>
          <cell r="F1018" t="str">
            <v>Tiempo de bloqueo</v>
          </cell>
          <cell r="G1018" t="str">
            <v>Tempo de fecho</v>
          </cell>
          <cell r="H1018" t="str">
            <v xml:space="preserve"> --&gt; hungarian ?</v>
          </cell>
          <cell r="J1018" t="str">
            <v xml:space="preserve"> </v>
          </cell>
        </row>
        <row r="1019">
          <cell r="A1019">
            <v>1018</v>
          </cell>
          <cell r="B1019" t="str">
            <v>Pression injection :</v>
          </cell>
          <cell r="C1019" t="str">
            <v>Injection pressure :</v>
          </cell>
          <cell r="D1019" t="str">
            <v>Ciśnienie wtrysku</v>
          </cell>
          <cell r="E1019" t="str">
            <v>Presiune de injectie:</v>
          </cell>
          <cell r="F1019" t="str">
            <v>Presión inyección</v>
          </cell>
          <cell r="G1019" t="str">
            <v>Pressão de injecção</v>
          </cell>
          <cell r="H1019" t="str">
            <v>Injection nyomás :</v>
          </cell>
          <cell r="J1019" t="str">
            <v xml:space="preserve"> </v>
          </cell>
        </row>
        <row r="1020">
          <cell r="A1020">
            <v>1019</v>
          </cell>
          <cell r="B1020" t="str">
            <v>Profil injection</v>
          </cell>
          <cell r="C1020" t="str">
            <v>Injection profile</v>
          </cell>
          <cell r="D1020" t="str">
            <v>Profil wtrysku</v>
          </cell>
          <cell r="E1020" t="str">
            <v>Profilul de injectie:</v>
          </cell>
          <cell r="F1020" t="str">
            <v>Perfil inyección</v>
          </cell>
          <cell r="G1020" t="str">
            <v>Perfil de Injecção</v>
          </cell>
          <cell r="H1020" t="str">
            <v xml:space="preserve"> --&gt; hungarian ?</v>
          </cell>
          <cell r="J1020" t="str">
            <v xml:space="preserve"> </v>
          </cell>
        </row>
        <row r="1021">
          <cell r="A1021">
            <v>1020</v>
          </cell>
          <cell r="B1021" t="str">
            <v>Autorisation maintien hydraulique</v>
          </cell>
          <cell r="C1021" t="str">
            <v>Hydraulic holding permit :</v>
          </cell>
          <cell r="D1021" t="str">
            <v>Zezwolenie hydrauliczny docisk</v>
          </cell>
          <cell r="E1021" t="str">
            <v>Autorizare mentinere hidraulica:</v>
          </cell>
          <cell r="F1021" t="str">
            <v>Autorización mantenimiento hidráulico</v>
          </cell>
          <cell r="G1021" t="str">
            <v>Autorização 2 pressão hidraulica</v>
          </cell>
          <cell r="H1021" t="str">
            <v xml:space="preserve"> --&gt; hungarian ?</v>
          </cell>
          <cell r="J1021" t="str">
            <v xml:space="preserve"> </v>
          </cell>
        </row>
        <row r="1022">
          <cell r="A1022">
            <v>1021</v>
          </cell>
          <cell r="B1022" t="str">
            <v>Vitesse rotation :</v>
          </cell>
          <cell r="C1022" t="str">
            <v>Rotation speed :</v>
          </cell>
          <cell r="D1022" t="str">
            <v>Prędkość rotacji</v>
          </cell>
          <cell r="E1022" t="str">
            <v>Viteza de rotatie :</v>
          </cell>
          <cell r="F1022" t="str">
            <v>Velocidad rotación :</v>
          </cell>
          <cell r="G1022" t="str">
            <v>Velocidade de Rotação</v>
          </cell>
          <cell r="H1022" t="str">
            <v xml:space="preserve"> --&gt; hungarian ?</v>
          </cell>
          <cell r="J1022" t="str">
            <v xml:space="preserve"> </v>
          </cell>
        </row>
        <row r="1023">
          <cell r="A1023">
            <v>1022</v>
          </cell>
          <cell r="B1023" t="str">
            <v>Recul vis :</v>
          </cell>
          <cell r="C1023" t="str">
            <v>Screw backward :</v>
          </cell>
          <cell r="D1023" t="str">
            <v>Pozycja ślimaka z tyłu</v>
          </cell>
          <cell r="E1023" t="str">
            <v>Recul surub:</v>
          </cell>
          <cell r="F1023" t="str">
            <v>Retroceso husillo :</v>
          </cell>
          <cell r="G1023" t="str">
            <v>Recuo do fuso</v>
          </cell>
          <cell r="H1023" t="str">
            <v xml:space="preserve"> --&gt; hungarian ?</v>
          </cell>
          <cell r="J1023" t="str">
            <v xml:space="preserve"> </v>
          </cell>
        </row>
        <row r="1024">
          <cell r="A1024">
            <v>1023</v>
          </cell>
          <cell r="B1024" t="str">
            <v>Fin dosage :</v>
          </cell>
          <cell r="C1024" t="str">
            <v>Dosage end :</v>
          </cell>
          <cell r="D1024" t="str">
            <v>Koniec dozowania</v>
          </cell>
          <cell r="E1024" t="str">
            <v>Sfarsitul dozarii:</v>
          </cell>
          <cell r="F1024" t="str">
            <v>Fin dosificación :</v>
          </cell>
          <cell r="G1024" t="str">
            <v>Fim de dosagem</v>
          </cell>
          <cell r="H1024" t="str">
            <v>Adag end :</v>
          </cell>
          <cell r="J1024" t="str">
            <v xml:space="preserve"> </v>
          </cell>
        </row>
        <row r="1025">
          <cell r="A1025">
            <v>1024</v>
          </cell>
          <cell r="B1025" t="str">
            <v>Point de commutation</v>
          </cell>
          <cell r="C1025" t="str">
            <v>Commutation position</v>
          </cell>
          <cell r="D1025" t="str">
            <v>Punkt przełączania</v>
          </cell>
          <cell r="E1025" t="str">
            <v>Pozitie de comutare</v>
          </cell>
          <cell r="F1025" t="str">
            <v>Punto conmutación</v>
          </cell>
          <cell r="G1025" t="str">
            <v>Ponto de comutação</v>
          </cell>
          <cell r="H1025" t="str">
            <v xml:space="preserve"> --&gt; hungarian ?</v>
          </cell>
          <cell r="J1025" t="str">
            <v xml:space="preserve"> </v>
          </cell>
        </row>
        <row r="1026">
          <cell r="A1026">
            <v>1025</v>
          </cell>
          <cell r="B1026" t="str">
            <v>Course vis :</v>
          </cell>
          <cell r="C1026" t="str">
            <v>Screw stroke :</v>
          </cell>
          <cell r="D1026" t="str">
            <v>Pozycja ślimaka</v>
          </cell>
          <cell r="E1026" t="str">
            <v>Cursa surub :</v>
          </cell>
          <cell r="F1026" t="str">
            <v>Carrera husillo :</v>
          </cell>
          <cell r="G1026" t="str">
            <v>Avanço fuso</v>
          </cell>
          <cell r="H1026" t="str">
            <v xml:space="preserve"> --&gt; hungarian ?</v>
          </cell>
          <cell r="J1026" t="str">
            <v xml:space="preserve"> </v>
          </cell>
        </row>
        <row r="1027">
          <cell r="A1027">
            <v>1026</v>
          </cell>
          <cell r="B1027" t="str">
            <v>Pression hydraul. :</v>
          </cell>
          <cell r="C1027" t="str">
            <v>Hydraulic pressure :</v>
          </cell>
          <cell r="D1027" t="str">
            <v>Ciśnienie hydrauliczne</v>
          </cell>
          <cell r="E1027" t="str">
            <v>Presiune hidraulica :</v>
          </cell>
          <cell r="F1027" t="str">
            <v>Presión hidraulica</v>
          </cell>
          <cell r="G1027" t="str">
            <v>Pressão hidraulica</v>
          </cell>
          <cell r="H1027" t="str">
            <v>Hidraulik nyomás</v>
          </cell>
          <cell r="I1027" t="str">
            <v>Tlak hydraul:</v>
          </cell>
          <cell r="J1027" t="str">
            <v xml:space="preserve"> </v>
          </cell>
        </row>
        <row r="1028">
          <cell r="A1028">
            <v>1027</v>
          </cell>
          <cell r="B1028" t="str">
            <v>Avance U. I. : V1 :</v>
          </cell>
          <cell r="C1028" t="str">
            <v>Forward I. U. : V1 :</v>
          </cell>
          <cell r="D1028" t="str">
            <v>Przód I.U. : V1</v>
          </cell>
          <cell r="E1028" t="str">
            <v>Avans U. I. : V1 :</v>
          </cell>
          <cell r="F1028" t="str">
            <v>Anvance U.I: V1</v>
          </cell>
          <cell r="G1028" t="str">
            <v>Avanço U.I.: V1:</v>
          </cell>
          <cell r="H1028" t="str">
            <v xml:space="preserve"> --&gt; hungarian ?</v>
          </cell>
          <cell r="J1028" t="str">
            <v xml:space="preserve"> </v>
          </cell>
        </row>
        <row r="1029">
          <cell r="A1029">
            <v>1028</v>
          </cell>
          <cell r="B1029" t="str">
            <v>Retard recul U. I. :</v>
          </cell>
          <cell r="C1029" t="str">
            <v>Backward delay I. U. :</v>
          </cell>
          <cell r="D1029" t="str">
            <v>Opóźnienie tyłu I.U. :</v>
          </cell>
          <cell r="E1029" t="str">
            <v>Intarzierea reculului U.I.:</v>
          </cell>
          <cell r="F1029" t="str">
            <v>Retraso retroceso U. I . :</v>
          </cell>
          <cell r="G1029" t="str">
            <v>Atraso recuo unidade de injecção</v>
          </cell>
          <cell r="H1029" t="str">
            <v xml:space="preserve"> --&gt; hungarian ?</v>
          </cell>
          <cell r="J1029" t="str">
            <v xml:space="preserve"> </v>
          </cell>
        </row>
        <row r="1030">
          <cell r="A1030">
            <v>1029</v>
          </cell>
          <cell r="B1030" t="str">
            <v>Recul U. I. : V1 :</v>
          </cell>
          <cell r="C1030" t="str">
            <v>Backward I. U. : V1 :</v>
          </cell>
          <cell r="D1030" t="str">
            <v>Tył I. U. : V1</v>
          </cell>
          <cell r="E1030" t="str">
            <v>Recul U. I. : V1 :</v>
          </cell>
          <cell r="F1030" t="str">
            <v>Retroceso U. I . :</v>
          </cell>
          <cell r="G1030" t="str">
            <v>Recuo unidade de injecção V1</v>
          </cell>
          <cell r="H1030" t="str">
            <v xml:space="preserve"> --&gt; hungarian ?</v>
          </cell>
          <cell r="J1030" t="str">
            <v xml:space="preserve"> </v>
          </cell>
        </row>
        <row r="1031">
          <cell r="A1031">
            <v>1030</v>
          </cell>
          <cell r="B1031" t="str">
            <v>Recul U. I. avant dosage</v>
          </cell>
          <cell r="C1031" t="str">
            <v>Backward I. U. before dosage</v>
          </cell>
          <cell r="D1031" t="str">
            <v>Tył I. U. Przed dozowaniem</v>
          </cell>
          <cell r="E1031" t="str">
            <v>Recul U. I. inainte de dozare :</v>
          </cell>
          <cell r="F1031" t="str">
            <v xml:space="preserve">Retroceso antes </v>
          </cell>
          <cell r="G1031" t="str">
            <v>Atraso U.I. antes da dosagem</v>
          </cell>
          <cell r="H1031" t="str">
            <v xml:space="preserve"> --&gt; hungarian ?</v>
          </cell>
          <cell r="J1031" t="str">
            <v xml:space="preserve"> </v>
          </cell>
        </row>
        <row r="1032">
          <cell r="A1032">
            <v>1031</v>
          </cell>
          <cell r="B1032" t="str">
            <v>Après dosage</v>
          </cell>
          <cell r="C1032" t="str">
            <v>After dosage</v>
          </cell>
          <cell r="D1032" t="str">
            <v>Po dozowaniu</v>
          </cell>
          <cell r="E1032" t="str">
            <v>Dupa dozare:</v>
          </cell>
          <cell r="F1032" t="str">
            <v>Después dosificación</v>
          </cell>
          <cell r="G1032" t="str">
            <v>Após dosagem</v>
          </cell>
          <cell r="H1032" t="str">
            <v>Tán adag</v>
          </cell>
          <cell r="I1032" t="str">
            <v>Po dávkovaní</v>
          </cell>
          <cell r="J1032" t="str">
            <v xml:space="preserve"> </v>
          </cell>
        </row>
        <row r="1033">
          <cell r="A1033">
            <v>1032</v>
          </cell>
          <cell r="B1033" t="str">
            <v>Régulateur</v>
          </cell>
          <cell r="C1033" t="str">
            <v>Controller</v>
          </cell>
          <cell r="D1033" t="str">
            <v>Podgrzewacz</v>
          </cell>
          <cell r="E1033" t="str">
            <v>Regulator</v>
          </cell>
          <cell r="F1033" t="str">
            <v>Regulador</v>
          </cell>
          <cell r="G1033" t="str">
            <v>Termorregulador</v>
          </cell>
          <cell r="H1033" t="str">
            <v xml:space="preserve"> --&gt; hungarian ?</v>
          </cell>
          <cell r="J1033" t="str">
            <v xml:space="preserve"> </v>
          </cell>
        </row>
        <row r="1034">
          <cell r="A1034">
            <v>1033</v>
          </cell>
          <cell r="B1034" t="str">
            <v>Eau</v>
          </cell>
          <cell r="C1034" t="str">
            <v>Water</v>
          </cell>
          <cell r="D1034" t="str">
            <v>Woda</v>
          </cell>
          <cell r="E1034" t="str">
            <v>Eau</v>
          </cell>
          <cell r="F1034" t="str">
            <v>Agua</v>
          </cell>
          <cell r="G1034" t="str">
            <v>Agua</v>
          </cell>
          <cell r="H1034" t="str">
            <v>Víz</v>
          </cell>
          <cell r="J1034" t="str">
            <v xml:space="preserve"> </v>
          </cell>
        </row>
        <row r="1035">
          <cell r="A1035">
            <v>1034</v>
          </cell>
          <cell r="B1035" t="str">
            <v>Air</v>
          </cell>
          <cell r="C1035" t="str">
            <v>Air</v>
          </cell>
          <cell r="D1035" t="str">
            <v>Powietrze</v>
          </cell>
          <cell r="E1035" t="str">
            <v>Apa</v>
          </cell>
          <cell r="F1035" t="str">
            <v>Aire</v>
          </cell>
          <cell r="G1035" t="str">
            <v>Ar</v>
          </cell>
          <cell r="H1035" t="str">
            <v xml:space="preserve"> --&gt; hungarian ?</v>
          </cell>
          <cell r="J1035" t="str">
            <v xml:space="preserve"> </v>
          </cell>
        </row>
        <row r="1036">
          <cell r="A1036">
            <v>1035</v>
          </cell>
          <cell r="B1036" t="str">
            <v>Pénétration</v>
          </cell>
          <cell r="C1036" t="str">
            <v>Way in</v>
          </cell>
          <cell r="D1036" t="str">
            <v xml:space="preserve">Wejście </v>
          </cell>
          <cell r="E1036" t="str">
            <v>Penetrare</v>
          </cell>
          <cell r="F1036" t="str">
            <v>Penetración</v>
          </cell>
          <cell r="G1036" t="str">
            <v>Entrada</v>
          </cell>
          <cell r="H1036" t="str">
            <v xml:space="preserve"> --&gt; hungarian ?</v>
          </cell>
          <cell r="J1036" t="str">
            <v xml:space="preserve"> </v>
          </cell>
        </row>
        <row r="1037">
          <cell r="A1037">
            <v>1036</v>
          </cell>
          <cell r="B1037" t="str">
            <v>Extraction</v>
          </cell>
          <cell r="C1037" t="str">
            <v>Way out</v>
          </cell>
          <cell r="D1037" t="str">
            <v>Wyjście</v>
          </cell>
          <cell r="E1037" t="str">
            <v>Extragere</v>
          </cell>
          <cell r="F1037" t="str">
            <v>Extracción</v>
          </cell>
          <cell r="G1037" t="str">
            <v>Saida</v>
          </cell>
          <cell r="H1037" t="str">
            <v xml:space="preserve"> --&gt; hungarian ?</v>
          </cell>
          <cell r="J1037" t="str">
            <v xml:space="preserve"> </v>
          </cell>
        </row>
        <row r="1038">
          <cell r="A1038">
            <v>1037</v>
          </cell>
          <cell r="B1038" t="str">
            <v>Noyau</v>
          </cell>
          <cell r="C1038" t="str">
            <v>Core</v>
          </cell>
          <cell r="D1038" t="str">
            <v>Rdzeń</v>
          </cell>
          <cell r="E1038" t="str">
            <v>Nucleu</v>
          </cell>
          <cell r="F1038" t="str">
            <v>Nucleo</v>
          </cell>
          <cell r="G1038" t="str">
            <v>Hidraulicos/machos</v>
          </cell>
          <cell r="H1038" t="str">
            <v>Mag</v>
          </cell>
          <cell r="J1038" t="str">
            <v xml:space="preserve"> </v>
          </cell>
        </row>
        <row r="1039">
          <cell r="A1039">
            <v>1038</v>
          </cell>
          <cell r="J1039" t="str">
            <v xml:space="preserve"> </v>
          </cell>
        </row>
        <row r="1040">
          <cell r="A1040">
            <v>1039</v>
          </cell>
          <cell r="B1040" t="str">
            <v>Pres. / Vit.</v>
          </cell>
          <cell r="C1040" t="str">
            <v>Pres. / Speed</v>
          </cell>
          <cell r="D1040" t="str">
            <v>Ciśnienie / Prędkość</v>
          </cell>
          <cell r="E1040" t="str">
            <v>Pres. / Vit.</v>
          </cell>
          <cell r="F1040" t="str">
            <v>Pres / Velocidad</v>
          </cell>
          <cell r="G1040" t="str">
            <v>Pressão / velocidade</v>
          </cell>
          <cell r="H1040" t="str">
            <v>Nyom./sebes.</v>
          </cell>
          <cell r="J1040" t="str">
            <v xml:space="preserve"> </v>
          </cell>
        </row>
        <row r="1041">
          <cell r="A1041">
            <v>1040</v>
          </cell>
          <cell r="B1041" t="str">
            <v>Coup fin mouvmt</v>
          </cell>
          <cell r="C1041" t="str">
            <v>Blow end movmt</v>
          </cell>
          <cell r="D1041" t="str">
            <v xml:space="preserve"> --&gt; polish ?</v>
          </cell>
          <cell r="E1041" t="str">
            <v>Lovitura de sfarsit a miscarii</v>
          </cell>
          <cell r="F1041" t="str">
            <v>Golpe fin de movimiento</v>
          </cell>
          <cell r="G1041" t="str">
            <v>Corte Fim de curso</v>
          </cell>
          <cell r="H1041" t="str">
            <v xml:space="preserve"> --&gt; hungarian ?</v>
          </cell>
          <cell r="J1041" t="str">
            <v xml:space="preserve"> </v>
          </cell>
        </row>
        <row r="1042">
          <cell r="A1042">
            <v>1041</v>
          </cell>
          <cell r="B1042" t="str">
            <v>Fct en temps</v>
          </cell>
          <cell r="C1042" t="str">
            <v>Fct in time</v>
          </cell>
          <cell r="D1042" t="str">
            <v xml:space="preserve"> --&gt; polish ?</v>
          </cell>
          <cell r="E1042" t="str">
            <v>Fct. In timp</v>
          </cell>
          <cell r="F1042" t="str">
            <v>Fct en tiempo</v>
          </cell>
          <cell r="G1042" t="str">
            <v>Fct em tempo</v>
          </cell>
          <cell r="H1042" t="str">
            <v xml:space="preserve"> --&gt; hungarian ?</v>
          </cell>
          <cell r="J1042" t="str">
            <v xml:space="preserve"> </v>
          </cell>
        </row>
        <row r="1043">
          <cell r="A1043">
            <v>1042</v>
          </cell>
          <cell r="B1043" t="str">
            <v>Dévissage</v>
          </cell>
          <cell r="C1043" t="str">
            <v>Unscrewing</v>
          </cell>
          <cell r="D1043" t="str">
            <v>Odkręcanie</v>
          </cell>
          <cell r="E1043" t="str">
            <v>Desurubare</v>
          </cell>
          <cell r="F1043" t="str">
            <v>Desatornillado</v>
          </cell>
          <cell r="G1043" t="str">
            <v>Desapertar</v>
          </cell>
          <cell r="H1043" t="str">
            <v xml:space="preserve"> --&gt; hungarian ?</v>
          </cell>
          <cell r="J1043" t="str">
            <v xml:space="preserve"> </v>
          </cell>
        </row>
        <row r="1044">
          <cell r="A1044">
            <v>1043</v>
          </cell>
          <cell r="B1044" t="str">
            <v>Nb impulsions</v>
          </cell>
          <cell r="C1044" t="str">
            <v>Impulse quantity</v>
          </cell>
          <cell r="D1044" t="str">
            <v>Ilośc impulsów</v>
          </cell>
          <cell r="E1044" t="str">
            <v>Numar de impulsuri</v>
          </cell>
          <cell r="F1044" t="str">
            <v>Nº impulsos</v>
          </cell>
          <cell r="G1044" t="str">
            <v>Nº de impulsos</v>
          </cell>
          <cell r="H1044" t="str">
            <v xml:space="preserve"> --&gt; hungarian ?</v>
          </cell>
          <cell r="J1044" t="str">
            <v xml:space="preserve"> </v>
          </cell>
        </row>
        <row r="1045">
          <cell r="A1045">
            <v>1044</v>
          </cell>
          <cell r="B1045" t="str">
            <v>CONTRÔLE PROCESS</v>
          </cell>
          <cell r="C1045" t="str">
            <v>PROCESS CONTROL</v>
          </cell>
          <cell r="D1045" t="str">
            <v>PROCES KONTROLI</v>
          </cell>
          <cell r="E1045" t="str">
            <v>CONTROLUL PROCESULUI</v>
          </cell>
          <cell r="F1045" t="str">
            <v>Control proceso</v>
          </cell>
          <cell r="G1045" t="str">
            <v>CONTROLO DE PROCESSO</v>
          </cell>
          <cell r="H1045" t="str">
            <v>PROCES ELLENŐRZÉSEK</v>
          </cell>
          <cell r="J1045" t="str">
            <v xml:space="preserve"> </v>
          </cell>
        </row>
        <row r="1046">
          <cell r="A1046">
            <v>1045</v>
          </cell>
          <cell r="B1046" t="str">
            <v>Réel</v>
          </cell>
          <cell r="C1046" t="str">
            <v>Real</v>
          </cell>
          <cell r="D1046" t="str">
            <v>Rzeczywisty</v>
          </cell>
          <cell r="E1046" t="str">
            <v>Real</v>
          </cell>
          <cell r="F1046" t="str">
            <v>Real</v>
          </cell>
          <cell r="G1046" t="str">
            <v>Real</v>
          </cell>
          <cell r="H1046" t="str">
            <v>Igazi</v>
          </cell>
          <cell r="J1046" t="str">
            <v xml:space="preserve"> </v>
          </cell>
        </row>
        <row r="1047">
          <cell r="A1047">
            <v>1046</v>
          </cell>
          <cell r="B1047" t="str">
            <v>Lim. Inf.</v>
          </cell>
          <cell r="C1047" t="str">
            <v>Lower Lim.</v>
          </cell>
          <cell r="D1047" t="str">
            <v>Dolny limit</v>
          </cell>
          <cell r="E1047" t="str">
            <v>Lim. Inf.</v>
          </cell>
          <cell r="F1047" t="str">
            <v>Lim inf</v>
          </cell>
          <cell r="G1047" t="str">
            <v>Limite Inf.</v>
          </cell>
          <cell r="H1047" t="str">
            <v xml:space="preserve"> --&gt; hungarian ?</v>
          </cell>
          <cell r="J1047" t="str">
            <v xml:space="preserve"> </v>
          </cell>
        </row>
        <row r="1048">
          <cell r="A1048">
            <v>1047</v>
          </cell>
          <cell r="B1048" t="str">
            <v>Lim. Sup.</v>
          </cell>
          <cell r="C1048" t="str">
            <v>Upper Lim.</v>
          </cell>
          <cell r="D1048" t="str">
            <v>Górny limit</v>
          </cell>
          <cell r="E1048" t="str">
            <v>Lim. Sup.</v>
          </cell>
          <cell r="F1048" t="str">
            <v>Lim sup</v>
          </cell>
          <cell r="G1048" t="str">
            <v>Limite Superior</v>
          </cell>
          <cell r="H1048" t="str">
            <v xml:space="preserve"> --&gt; hungarian ?</v>
          </cell>
          <cell r="J1048" t="str">
            <v xml:space="preserve"> </v>
          </cell>
        </row>
        <row r="1049">
          <cell r="A1049">
            <v>1048</v>
          </cell>
          <cell r="B1049" t="str">
            <v>INFORMATIONS</v>
          </cell>
          <cell r="C1049" t="str">
            <v>INFORMATION</v>
          </cell>
          <cell r="D1049" t="str">
            <v>INFORMACJE</v>
          </cell>
          <cell r="E1049" t="str">
            <v>INFORMATII</v>
          </cell>
          <cell r="F1049" t="str">
            <v>INFORMACIÓN</v>
          </cell>
          <cell r="G1049" t="str">
            <v>INFORMAÇÕES</v>
          </cell>
          <cell r="H1049" t="str">
            <v>INFORMÁCIÓKÉNT</v>
          </cell>
          <cell r="J1049" t="str">
            <v xml:space="preserve"> </v>
          </cell>
        </row>
        <row r="1050">
          <cell r="A1050">
            <v>1049</v>
          </cell>
          <cell r="J1050" t="str">
            <v xml:space="preserve"> </v>
          </cell>
        </row>
        <row r="1051">
          <cell r="A1051">
            <v>1050</v>
          </cell>
          <cell r="J1051" t="str">
            <v xml:space="preserve"> </v>
          </cell>
        </row>
        <row r="1052">
          <cell r="A1052">
            <v>1051</v>
          </cell>
          <cell r="J1052" t="str">
            <v xml:space="preserve"> </v>
          </cell>
        </row>
        <row r="1053">
          <cell r="A1053">
            <v>1052</v>
          </cell>
          <cell r="J1053" t="str">
            <v xml:space="preserve"> </v>
          </cell>
        </row>
        <row r="1054">
          <cell r="A1054">
            <v>1053</v>
          </cell>
          <cell r="J1054" t="str">
            <v xml:space="preserve"> </v>
          </cell>
        </row>
        <row r="1055">
          <cell r="A1055">
            <v>1054</v>
          </cell>
          <cell r="J1055" t="str">
            <v xml:space="preserve"> </v>
          </cell>
        </row>
        <row r="1056">
          <cell r="A1056">
            <v>1055</v>
          </cell>
          <cell r="J1056" t="str">
            <v xml:space="preserve"> </v>
          </cell>
        </row>
        <row r="1057">
          <cell r="A1057">
            <v>1056</v>
          </cell>
          <cell r="J1057" t="str">
            <v xml:space="preserve"> </v>
          </cell>
        </row>
        <row r="1058">
          <cell r="A1058">
            <v>1057</v>
          </cell>
          <cell r="J1058" t="str">
            <v xml:space="preserve"> </v>
          </cell>
        </row>
        <row r="1059">
          <cell r="A1059">
            <v>1058</v>
          </cell>
          <cell r="J1059" t="str">
            <v xml:space="preserve"> </v>
          </cell>
        </row>
        <row r="1060">
          <cell r="A1060">
            <v>1059</v>
          </cell>
          <cell r="J1060" t="str">
            <v xml:space="preserve"> </v>
          </cell>
        </row>
        <row r="1061">
          <cell r="A1061">
            <v>1060</v>
          </cell>
          <cell r="J1061" t="str">
            <v xml:space="preserve"> </v>
          </cell>
        </row>
        <row r="1062">
          <cell r="A1062">
            <v>1061</v>
          </cell>
          <cell r="J1062" t="str">
            <v xml:space="preserve"> </v>
          </cell>
        </row>
        <row r="1063">
          <cell r="A1063">
            <v>1062</v>
          </cell>
          <cell r="J1063" t="str">
            <v xml:space="preserve"> </v>
          </cell>
        </row>
        <row r="1064">
          <cell r="A1064">
            <v>1063</v>
          </cell>
          <cell r="J1064" t="str">
            <v xml:space="preserve"> </v>
          </cell>
        </row>
        <row r="1065">
          <cell r="A1065">
            <v>1064</v>
          </cell>
          <cell r="J1065" t="str">
            <v xml:space="preserve"> </v>
          </cell>
        </row>
        <row r="1066">
          <cell r="A1066">
            <v>1065</v>
          </cell>
          <cell r="J1066" t="str">
            <v xml:space="preserve"> </v>
          </cell>
        </row>
        <row r="1067">
          <cell r="A1067">
            <v>1066</v>
          </cell>
          <cell r="J1067" t="str">
            <v xml:space="preserve"> </v>
          </cell>
        </row>
        <row r="1068">
          <cell r="A1068">
            <v>1067</v>
          </cell>
          <cell r="J1068" t="str">
            <v xml:space="preserve"> </v>
          </cell>
        </row>
        <row r="1069">
          <cell r="A1069">
            <v>1068</v>
          </cell>
          <cell r="J1069" t="str">
            <v xml:space="preserve"> </v>
          </cell>
        </row>
        <row r="1070">
          <cell r="A1070">
            <v>1069</v>
          </cell>
          <cell r="J1070" t="str">
            <v xml:space="preserve"> </v>
          </cell>
        </row>
        <row r="1071">
          <cell r="A1071">
            <v>1070</v>
          </cell>
          <cell r="B1071" t="str">
            <v>FICHE DE REGLAGE INJECTION (Type) : BILLION - BI-INJECTION</v>
          </cell>
          <cell r="C1071" t="str">
            <v>INJECTION ADJUSTMENT SHEET (Type) : BILLION - BI-INJECTION</v>
          </cell>
          <cell r="D1071" t="str">
            <v>KARTA REGULACJI WTRYSKU (Ogólna) : BILLION</v>
          </cell>
          <cell r="E1071" t="str">
            <v>FISA DE REGLAJ INJECTIEI (Tip) : BILLION BI-INJECTIE</v>
          </cell>
          <cell r="F1071" t="str">
            <v>FICHA DE AJUSTE DE INYECCIÓN (Tipo) : BILLION - BI-INYECCIÓN</v>
          </cell>
          <cell r="G1071" t="str">
            <v>FICHA TECNICA DE INJECÇÃO MAQ. BILLION -BI- INJECÇÃO</v>
          </cell>
          <cell r="H1071" t="str">
            <v>FRÖCCSÖNTÕ TECHNOLÓGIAI LAP (típusonként) : BILLION</v>
          </cell>
          <cell r="J1071" t="str">
            <v xml:space="preserve"> </v>
          </cell>
        </row>
        <row r="1072">
          <cell r="A1072">
            <v>1071</v>
          </cell>
          <cell r="B1072" t="str">
            <v>OUVERTURE</v>
          </cell>
          <cell r="C1072" t="str">
            <v>OPENING</v>
          </cell>
          <cell r="D1072" t="str">
            <v>OTWARCIE</v>
          </cell>
          <cell r="E1072" t="str">
            <v>DESCHIDERE</v>
          </cell>
          <cell r="F1072" t="str">
            <v>APERTURA</v>
          </cell>
          <cell r="G1072" t="str">
            <v>ABERTURA</v>
          </cell>
          <cell r="H1072" t="str">
            <v>NYITÁS</v>
          </cell>
          <cell r="I1072" t="str">
            <v>OTVORENIE</v>
          </cell>
          <cell r="J1072" t="str">
            <v xml:space="preserve"> </v>
          </cell>
        </row>
        <row r="1073">
          <cell r="A1073">
            <v>1072</v>
          </cell>
          <cell r="B1073" t="str">
            <v>Moule rotatif</v>
          </cell>
          <cell r="C1073" t="str">
            <v>Rotating mould</v>
          </cell>
          <cell r="D1073" t="str">
            <v>Narzędzie obrotowe</v>
          </cell>
          <cell r="E1073" t="str">
            <v>Matrite rotative</v>
          </cell>
          <cell r="F1073" t="str">
            <v>Molde rotativo</v>
          </cell>
          <cell r="G1073" t="str">
            <v>Molde rotativo</v>
          </cell>
          <cell r="J1073" t="str">
            <v xml:space="preserve"> </v>
          </cell>
        </row>
        <row r="1074">
          <cell r="A1074">
            <v>1073</v>
          </cell>
          <cell r="B1074" t="str">
            <v>Vis</v>
          </cell>
          <cell r="C1074" t="str">
            <v>Screw</v>
          </cell>
          <cell r="D1074" t="str">
            <v>Śruba</v>
          </cell>
          <cell r="E1074" t="str">
            <v>Surub</v>
          </cell>
          <cell r="F1074" t="str">
            <v>Usillo</v>
          </cell>
          <cell r="G1074" t="str">
            <v>Fuso</v>
          </cell>
          <cell r="H1074" t="str">
            <v>Csavar</v>
          </cell>
          <cell r="I1074" t="str">
            <v>Skrutka</v>
          </cell>
          <cell r="J1074" t="str">
            <v xml:space="preserve"> </v>
          </cell>
        </row>
        <row r="1075">
          <cell r="A1075">
            <v>1074</v>
          </cell>
          <cell r="J1075" t="str">
            <v xml:space="preserve"> </v>
          </cell>
        </row>
        <row r="1076">
          <cell r="A1076">
            <v>1075</v>
          </cell>
          <cell r="B1076" t="str">
            <v>Pression d'ouverture</v>
          </cell>
          <cell r="C1076" t="str">
            <v>Opening pressure</v>
          </cell>
          <cell r="D1076" t="str">
            <v>Ciśnienie otwarcia</v>
          </cell>
          <cell r="E1076" t="str">
            <v>Presiunea de deschidere</v>
          </cell>
          <cell r="F1076" t="str">
            <v>Presión de apertura</v>
          </cell>
          <cell r="G1076" t="str">
            <v>Pressão de abertura</v>
          </cell>
          <cell r="I1076" t="str">
            <v>Tlak otváranie</v>
          </cell>
          <cell r="J1076" t="str">
            <v xml:space="preserve"> </v>
          </cell>
        </row>
        <row r="1077">
          <cell r="A1077">
            <v>1076</v>
          </cell>
          <cell r="B1077" t="str">
            <v>FERMETURE</v>
          </cell>
          <cell r="C1077" t="str">
            <v>CLOSING</v>
          </cell>
          <cell r="D1077" t="str">
            <v>ZAMKNIECIE</v>
          </cell>
          <cell r="E1077" t="str">
            <v>INCHIDERE</v>
          </cell>
          <cell r="F1077" t="str">
            <v>INCHIDERE</v>
          </cell>
          <cell r="G1077" t="str">
            <v>FECHO</v>
          </cell>
          <cell r="H1077" t="str">
            <v>ZÁR</v>
          </cell>
          <cell r="J1077" t="str">
            <v xml:space="preserve"> </v>
          </cell>
        </row>
        <row r="1078">
          <cell r="A1078">
            <v>1077</v>
          </cell>
          <cell r="B1078" t="str">
            <v>Pression de fermeture</v>
          </cell>
          <cell r="C1078" t="str">
            <v>Closing pressure</v>
          </cell>
          <cell r="D1078" t="str">
            <v>Ciśnienie zamknięcia</v>
          </cell>
          <cell r="E1078" t="str">
            <v>Presiunea de inchidere</v>
          </cell>
          <cell r="F1078" t="str">
            <v>Presión de cierre</v>
          </cell>
          <cell r="G1078" t="str">
            <v>Pressão de fecho</v>
          </cell>
          <cell r="H1078" t="str">
            <v>Zár nyomás</v>
          </cell>
          <cell r="J1078" t="str">
            <v xml:space="preserve"> </v>
          </cell>
        </row>
        <row r="1079">
          <cell r="A1079">
            <v>1078</v>
          </cell>
          <cell r="B1079" t="str">
            <v>Pression de verrouillage</v>
          </cell>
          <cell r="C1079" t="str">
            <v>Clamping pressure</v>
          </cell>
          <cell r="D1079" t="str">
            <v>Ciśnienie blokowania</v>
          </cell>
          <cell r="E1079" t="str">
            <v>Presiunea de inchidere</v>
          </cell>
          <cell r="F1079" t="str">
            <v>Presión de cierre</v>
          </cell>
          <cell r="G1079" t="str">
            <v>Pressão de aperto</v>
          </cell>
          <cell r="H1079" t="str">
            <v>… nyomás</v>
          </cell>
          <cell r="J1079" t="str">
            <v xml:space="preserve"> </v>
          </cell>
        </row>
        <row r="1080">
          <cell r="A1080">
            <v>1079</v>
          </cell>
          <cell r="B1080" t="str">
            <v>Pression sécurité moule</v>
          </cell>
          <cell r="C1080" t="str">
            <v>mould safety pressure</v>
          </cell>
          <cell r="D1080" t="str">
            <v>Ciśnienie bezpieczeństwa formy</v>
          </cell>
          <cell r="E1080" t="str">
            <v>Presiunea de siguranta a matritei</v>
          </cell>
          <cell r="F1080" t="str">
            <v>Presión de seguridad molde</v>
          </cell>
          <cell r="G1080" t="str">
            <v>Pressão de segurança do molde</v>
          </cell>
          <cell r="J1080" t="str">
            <v xml:space="preserve"> </v>
          </cell>
        </row>
        <row r="1081">
          <cell r="A1081">
            <v>1080</v>
          </cell>
          <cell r="B1081" t="str">
            <v>Course d'ouverture</v>
          </cell>
          <cell r="C1081" t="str">
            <v>Opening stroke</v>
          </cell>
          <cell r="D1081" t="str">
            <v>Zakres otwarcia</v>
          </cell>
          <cell r="E1081" t="str">
            <v>Cursa de deschidere</v>
          </cell>
          <cell r="F1081" t="str">
            <v>Carrera de apertura</v>
          </cell>
          <cell r="G1081" t="str">
            <v>Curso de abertura</v>
          </cell>
          <cell r="H1081" t="str">
            <v>Nyitás út</v>
          </cell>
          <cell r="I1081" t="str">
            <v>Dráha otváranie</v>
          </cell>
          <cell r="J1081" t="str">
            <v xml:space="preserve"> </v>
          </cell>
        </row>
        <row r="1082">
          <cell r="A1082">
            <v>1081</v>
          </cell>
          <cell r="B1082" t="str">
            <v>EJECTION</v>
          </cell>
          <cell r="C1082" t="str">
            <v>EJECTION</v>
          </cell>
          <cell r="D1082" t="str">
            <v xml:space="preserve">WYRZUT </v>
          </cell>
          <cell r="E1082" t="str">
            <v>EVACUARE</v>
          </cell>
          <cell r="F1082" t="str">
            <v xml:space="preserve">EXPULSIÓN </v>
          </cell>
          <cell r="G1082" t="str">
            <v>EXTRACÇÃO</v>
          </cell>
          <cell r="H1082" t="str">
            <v>KILÖKÕ</v>
          </cell>
          <cell r="I1082" t="str">
            <v>VYHADZOVAČ</v>
          </cell>
          <cell r="J1082" t="str">
            <v xml:space="preserve"> </v>
          </cell>
        </row>
        <row r="1083">
          <cell r="A1083">
            <v>1082</v>
          </cell>
          <cell r="B1083" t="str">
            <v>Avance</v>
          </cell>
          <cell r="C1083" t="str">
            <v>Forward</v>
          </cell>
          <cell r="D1083" t="str">
            <v>Naprzód</v>
          </cell>
          <cell r="E1083" t="str">
            <v>Avans</v>
          </cell>
          <cell r="F1083" t="str">
            <v>Avance</v>
          </cell>
          <cell r="G1083" t="str">
            <v>Avanço</v>
          </cell>
          <cell r="J1083" t="str">
            <v xml:space="preserve"> </v>
          </cell>
        </row>
        <row r="1084">
          <cell r="A1084">
            <v>1083</v>
          </cell>
          <cell r="B1084" t="str">
            <v>Avant</v>
          </cell>
          <cell r="C1084" t="str">
            <v>Forward</v>
          </cell>
          <cell r="D1084" t="str">
            <v>Przed</v>
          </cell>
          <cell r="E1084" t="str">
            <v>Avans</v>
          </cell>
          <cell r="F1084" t="str">
            <v>Delante</v>
          </cell>
          <cell r="G1084" t="str">
            <v>Antes</v>
          </cell>
          <cell r="I1084" t="str">
            <v>Vpred</v>
          </cell>
          <cell r="J1084" t="str">
            <v xml:space="preserve"> </v>
          </cell>
        </row>
        <row r="1085">
          <cell r="A1085">
            <v>1084</v>
          </cell>
          <cell r="B1085" t="str">
            <v>Arrière</v>
          </cell>
          <cell r="C1085" t="str">
            <v>Backward</v>
          </cell>
          <cell r="D1085" t="str">
            <v>Tył</v>
          </cell>
          <cell r="E1085" t="str">
            <v>Inainte</v>
          </cell>
          <cell r="F1085" t="str">
            <v>Detrás</v>
          </cell>
          <cell r="G1085" t="str">
            <v>Recuo</v>
          </cell>
          <cell r="I1085" t="str">
            <v>Spät</v>
          </cell>
          <cell r="J1085" t="str">
            <v xml:space="preserve"> </v>
          </cell>
        </row>
        <row r="1086">
          <cell r="A1086">
            <v>1085</v>
          </cell>
          <cell r="J1086" t="str">
            <v xml:space="preserve"> </v>
          </cell>
        </row>
        <row r="1087">
          <cell r="A1087">
            <v>1086</v>
          </cell>
          <cell r="J1087" t="str">
            <v xml:space="preserve"> </v>
          </cell>
        </row>
        <row r="1088">
          <cell r="A1088">
            <v>1087</v>
          </cell>
          <cell r="J1088" t="str">
            <v xml:space="preserve"> </v>
          </cell>
        </row>
        <row r="1089">
          <cell r="A1089">
            <v>1088</v>
          </cell>
          <cell r="B1089" t="str">
            <v>Vitesse recul</v>
          </cell>
          <cell r="C1089" t="str">
            <v>Backward speed</v>
          </cell>
          <cell r="D1089" t="str">
            <v>Prędkość cofania</v>
          </cell>
          <cell r="E1089" t="str">
            <v>Viteza de recul</v>
          </cell>
          <cell r="F1089" t="str">
            <v>Velocidad retroceso</v>
          </cell>
          <cell r="G1089" t="str">
            <v>Velocidade de recuo</v>
          </cell>
          <cell r="J1089" t="str">
            <v xml:space="preserve"> </v>
          </cell>
        </row>
        <row r="1090">
          <cell r="A1090">
            <v>1089</v>
          </cell>
          <cell r="B1090" t="str">
            <v>Pression recul</v>
          </cell>
          <cell r="C1090" t="str">
            <v>Backward pressure</v>
          </cell>
          <cell r="D1090" t="str">
            <v>Ciśnienie cofania</v>
          </cell>
          <cell r="E1090" t="str">
            <v>Presiune de recul</v>
          </cell>
          <cell r="F1090" t="str">
            <v>Presión retroceso</v>
          </cell>
          <cell r="G1090" t="str">
            <v>Pressão de recuo</v>
          </cell>
          <cell r="J1090" t="str">
            <v xml:space="preserve"> </v>
          </cell>
        </row>
        <row r="1091">
          <cell r="A1091">
            <v>1090</v>
          </cell>
          <cell r="B1091" t="str">
            <v>Injection Vis 1</v>
          </cell>
          <cell r="C1091" t="str">
            <v>Injection Screw 1</v>
          </cell>
          <cell r="D1091" t="str">
            <v>Wtrysk ślimak 1</v>
          </cell>
          <cell r="E1091" t="str">
            <v>Injectie surub 1</v>
          </cell>
          <cell r="F1091" t="str">
            <v>Inyección usillo 1</v>
          </cell>
          <cell r="G1091" t="str">
            <v>Injecção fuso 1</v>
          </cell>
          <cell r="H1091" t="str">
            <v>Fröccsöntõ screw 1</v>
          </cell>
          <cell r="J1091" t="str">
            <v xml:space="preserve"> </v>
          </cell>
        </row>
        <row r="1092">
          <cell r="A1092">
            <v>1091</v>
          </cell>
          <cell r="B1092" t="str">
            <v>Temps ref :</v>
          </cell>
          <cell r="C1092" t="str">
            <v>Ref time :</v>
          </cell>
          <cell r="D1092" t="str">
            <v>Czas referencyjny</v>
          </cell>
          <cell r="E1092" t="str">
            <v>Ref. timp :</v>
          </cell>
          <cell r="F1092" t="str">
            <v>Tiempo ref:</v>
          </cell>
          <cell r="G1092" t="str">
            <v>Tempo de referencia</v>
          </cell>
          <cell r="H1092" t="str">
            <v>Ref idõ</v>
          </cell>
          <cell r="J1092" t="str">
            <v xml:space="preserve"> </v>
          </cell>
        </row>
        <row r="1093">
          <cell r="A1093">
            <v>1092</v>
          </cell>
          <cell r="B1093" t="str">
            <v>Vitesse en mm/s</v>
          </cell>
          <cell r="C1093" t="str">
            <v>Speed in mm/s</v>
          </cell>
          <cell r="D1093" t="str">
            <v>Prędkość  w mm/s</v>
          </cell>
          <cell r="E1093" t="str">
            <v>Viteza en mm/s</v>
          </cell>
          <cell r="F1093" t="str">
            <v>Velocidad en mm/s</v>
          </cell>
          <cell r="G1093" t="str">
            <v>velocidade em mm/ s</v>
          </cell>
          <cell r="H1093" t="str">
            <v>Sebesség mm/s</v>
          </cell>
          <cell r="J1093" t="str">
            <v xml:space="preserve"> </v>
          </cell>
        </row>
        <row r="1094">
          <cell r="A1094">
            <v>1093</v>
          </cell>
          <cell r="B1094" t="str">
            <v>ou en cm³/s</v>
          </cell>
          <cell r="C1094" t="str">
            <v>or in cm³/s</v>
          </cell>
          <cell r="D1094" t="str">
            <v>albo w cm³</v>
          </cell>
          <cell r="E1094" t="str">
            <v>sau cm³</v>
          </cell>
          <cell r="F1094" t="str">
            <v>o cm³/s</v>
          </cell>
          <cell r="G1094" t="str">
            <v>ou em cm³/s</v>
          </cell>
          <cell r="H1094" t="str">
            <v>vagy cm³</v>
          </cell>
          <cell r="J1094" t="str">
            <v xml:space="preserve"> </v>
          </cell>
        </row>
        <row r="1095">
          <cell r="A1095">
            <v>1094</v>
          </cell>
          <cell r="B1095" t="str">
            <v>Post-pression Vis 1</v>
          </cell>
          <cell r="C1095" t="str">
            <v>Post pression Screw 1</v>
          </cell>
          <cell r="D1095" t="str">
            <v>Przeciw ciśnienie Ślimak 1</v>
          </cell>
          <cell r="E1095" t="str">
            <v>Post-presiune Surub 1</v>
          </cell>
          <cell r="F1095" t="str">
            <v>Post presión usillo 1</v>
          </cell>
          <cell r="G1095" t="str">
            <v>Pós pressão fuso 1</v>
          </cell>
          <cell r="J1095" t="str">
            <v xml:space="preserve"> </v>
          </cell>
        </row>
        <row r="1096">
          <cell r="A1096">
            <v>1095</v>
          </cell>
          <cell r="B1096" t="str">
            <v>Post-pression Vis 2</v>
          </cell>
          <cell r="C1096" t="str">
            <v>Post pression Screw 2</v>
          </cell>
          <cell r="D1096" t="str">
            <v>Przeciw ciśnienie Ślimak 2</v>
          </cell>
          <cell r="E1096" t="str">
            <v>Post-presiune Surub 2</v>
          </cell>
          <cell r="F1096" t="str">
            <v>Post presión usillo 2</v>
          </cell>
          <cell r="G1096" t="str">
            <v>Pós pressão fuso 2</v>
          </cell>
          <cell r="J1096" t="str">
            <v xml:space="preserve"> </v>
          </cell>
        </row>
        <row r="1097">
          <cell r="A1097">
            <v>1096</v>
          </cell>
          <cell r="B1097" t="str">
            <v>Injection Vis 2</v>
          </cell>
          <cell r="C1097" t="str">
            <v>Injection Screw 2</v>
          </cell>
          <cell r="D1097" t="str">
            <v>Wtrysk Ślimak 2</v>
          </cell>
          <cell r="E1097" t="str">
            <v>Injectie surub 2</v>
          </cell>
          <cell r="F1097" t="str">
            <v>Inyección usillo 2</v>
          </cell>
          <cell r="G1097" t="str">
            <v>Injecção fuso 2</v>
          </cell>
          <cell r="H1097" t="str">
            <v>Fröccsöntõ screw 2</v>
          </cell>
          <cell r="J1097" t="str">
            <v xml:space="preserve"> </v>
          </cell>
        </row>
        <row r="1098">
          <cell r="A1098">
            <v>1097</v>
          </cell>
          <cell r="B1098" t="str">
            <v>Dosage Vis 1</v>
          </cell>
          <cell r="C1098" t="str">
            <v>Dosage Screw 1</v>
          </cell>
          <cell r="D1098" t="str">
            <v>Dozowanie Ślimaka 1</v>
          </cell>
          <cell r="E1098" t="str">
            <v>Dozare surub 1</v>
          </cell>
          <cell r="F1098" t="str">
            <v>Dosificación usillo 1</v>
          </cell>
          <cell r="G1098" t="str">
            <v>Dosagem fuso 1</v>
          </cell>
          <cell r="H1098" t="str">
            <v>Adag screw 1</v>
          </cell>
          <cell r="J1098" t="str">
            <v xml:space="preserve"> </v>
          </cell>
        </row>
        <row r="1099">
          <cell r="A1099">
            <v>1098</v>
          </cell>
          <cell r="B1099" t="str">
            <v>Dosage Vis 2</v>
          </cell>
          <cell r="C1099" t="str">
            <v>Dosage Screw 2</v>
          </cell>
          <cell r="D1099" t="str">
            <v>Dozowania Ślimaka 2</v>
          </cell>
          <cell r="E1099" t="str">
            <v>Dozare surub 1</v>
          </cell>
          <cell r="F1099" t="str">
            <v>Dosificación usillo 2</v>
          </cell>
          <cell r="G1099" t="str">
            <v>dosagem fuso 2</v>
          </cell>
          <cell r="H1099" t="str">
            <v>Adag screw 2</v>
          </cell>
          <cell r="J1099" t="str">
            <v xml:space="preserve"> </v>
          </cell>
        </row>
        <row r="1100">
          <cell r="A1100">
            <v>1099</v>
          </cell>
          <cell r="B1100" t="str">
            <v>Vitesse décompr.</v>
          </cell>
          <cell r="C1100" t="str">
            <v>Decompr. speed</v>
          </cell>
          <cell r="D1100" t="str">
            <v>Prędkość dekompresji</v>
          </cell>
          <cell r="E1100" t="str">
            <v>Viteza de decompresie</v>
          </cell>
          <cell r="F1100" t="str">
            <v>Velocidad de decompr.</v>
          </cell>
          <cell r="G1100" t="str">
            <v>velocidade de descompressão</v>
          </cell>
          <cell r="H1100" t="str">
            <v>Dekompr. sebesség</v>
          </cell>
          <cell r="J1100" t="str">
            <v xml:space="preserve"> </v>
          </cell>
        </row>
        <row r="1101">
          <cell r="A1101">
            <v>1100</v>
          </cell>
          <cell r="J1101" t="str">
            <v xml:space="preserve"> </v>
          </cell>
        </row>
        <row r="1102">
          <cell r="A1102">
            <v>1101</v>
          </cell>
          <cell r="J1102" t="str">
            <v xml:space="preserve"> </v>
          </cell>
        </row>
        <row r="1103">
          <cell r="A1103">
            <v>1102</v>
          </cell>
          <cell r="J1103" t="str">
            <v xml:space="preserve"> </v>
          </cell>
        </row>
        <row r="1104">
          <cell r="A1104">
            <v>1103</v>
          </cell>
          <cell r="J1104" t="str">
            <v xml:space="preserve"> </v>
          </cell>
        </row>
        <row r="1105">
          <cell r="A1105">
            <v>1104</v>
          </cell>
          <cell r="J1105" t="str">
            <v xml:space="preserve"> </v>
          </cell>
        </row>
        <row r="1106">
          <cell r="A1106">
            <v>1105</v>
          </cell>
          <cell r="B1106" t="str">
            <v>1 - Définir les zones esthetiques suivantes :</v>
          </cell>
          <cell r="C1106" t="str">
            <v>1 - Define the following aesthetical aeras :</v>
          </cell>
          <cell r="D1106" t="str">
            <v>Określenie poszczególnych  stref estetycznych</v>
          </cell>
          <cell r="E1106" t="str">
            <v>Definiti urmatoarele arii inestetice</v>
          </cell>
          <cell r="F1106" t="str">
            <v>1- Definir las zonas esteticas a seguir:</v>
          </cell>
          <cell r="G1106" t="str">
            <v>1 -  Definir as areas visiveis seguintes:</v>
          </cell>
          <cell r="J1106" t="str">
            <v xml:space="preserve"> </v>
          </cell>
        </row>
        <row r="1107">
          <cell r="A1107">
            <v>1106</v>
          </cell>
          <cell r="B1107" t="str">
            <v xml:space="preserve"> . Rouge : zone très critique en aspect</v>
          </cell>
          <cell r="C1107" t="str">
            <v xml:space="preserve"> . Red : aera very critical in aspect</v>
          </cell>
          <cell r="D1107" t="str">
            <v>Czerwony : strefa bardzo krytyczna dla aspektu</v>
          </cell>
          <cell r="E1107" t="str">
            <v>Rosu: arie foarte critica pentru aspect.</v>
          </cell>
          <cell r="F1107" t="str">
            <v>- Rojo: area muy critica en aspecto</v>
          </cell>
          <cell r="G1107" t="str">
            <v>Vermelho: zona muito visivel</v>
          </cell>
          <cell r="J1107" t="str">
            <v xml:space="preserve"> </v>
          </cell>
        </row>
        <row r="1108">
          <cell r="A1108">
            <v>1107</v>
          </cell>
          <cell r="B1108" t="str">
            <v xml:space="preserve"> . Orange : zone critique en aspect</v>
          </cell>
          <cell r="C1108" t="str">
            <v xml:space="preserve"> . Orange : critical aera in aspect</v>
          </cell>
          <cell r="D1108" t="str">
            <v>Pomarańczowy : krytyczna dla aspektu</v>
          </cell>
          <cell r="E1108" t="str">
            <v>Portocaliu: arie critica in aspect</v>
          </cell>
          <cell r="F1108" t="str">
            <v>- Naranja: zona critica en aspecto</v>
          </cell>
          <cell r="G1108" t="str">
            <v xml:space="preserve"> laranja: zona visivel</v>
          </cell>
          <cell r="J1108" t="str">
            <v xml:space="preserve"> </v>
          </cell>
        </row>
        <row r="1109">
          <cell r="A1109">
            <v>1108</v>
          </cell>
          <cell r="B1109" t="str">
            <v xml:space="preserve"> . Vert zone à surveiller en aspect</v>
          </cell>
          <cell r="C1109" t="str">
            <v xml:space="preserve"> . Green : aera to control in aspect</v>
          </cell>
          <cell r="D1109" t="str">
            <v>Zielona : strefa kontroli</v>
          </cell>
          <cell r="E1109" t="str">
            <v>Verde: arie de controlat in aspect</v>
          </cell>
          <cell r="F1109" t="str">
            <v>- Verde: are para controlar en aspecto</v>
          </cell>
          <cell r="G1109" t="str">
            <v>Verde:- zona pouco visivel</v>
          </cell>
          <cell r="J1109" t="str">
            <v xml:space="preserve"> </v>
          </cell>
        </row>
        <row r="1110">
          <cell r="A1110">
            <v>1109</v>
          </cell>
          <cell r="B1110" t="str">
            <v xml:space="preserve"> . Blanc : zone sans exigence d'aspect</v>
          </cell>
          <cell r="C1110" t="str">
            <v xml:space="preserve"> . White : aera with no aspect requirement</v>
          </cell>
          <cell r="D1110" t="str">
            <v>Biała : bez wymagań</v>
          </cell>
          <cell r="E1110" t="str">
            <v>Alb: arie fara cerinte de aspect</v>
          </cell>
          <cell r="F1110" t="str">
            <v>- Blanco : zona sin requerimiento de aspecto</v>
          </cell>
          <cell r="G1110" t="str">
            <v>Branco:- area não visivel</v>
          </cell>
          <cell r="J1110" t="str">
            <v xml:space="preserve"> </v>
          </cell>
        </row>
        <row r="1111">
          <cell r="A1111">
            <v>1110</v>
          </cell>
          <cell r="B1111" t="str">
            <v>2 - Définir les conditions de contrôle de la pièce :</v>
          </cell>
          <cell r="C1111" t="str">
            <v>2 - Define the conditions of inspection for the part :</v>
          </cell>
          <cell r="D1111" t="str">
            <v>2- Określenie waruków kontroli detalu:</v>
          </cell>
          <cell r="E1111" t="str">
            <v>2- Definiti conditiile de inspectii pentru piesa:</v>
          </cell>
          <cell r="F1111" t="str">
            <v>2 - Definir las condiciones de inspección de la pieza:</v>
          </cell>
          <cell r="G1111" t="str">
            <v>2 -  Definir o procedimento de controlo da peça</v>
          </cell>
          <cell r="J1111" t="str">
            <v xml:space="preserve"> </v>
          </cell>
        </row>
        <row r="1112">
          <cell r="A1112">
            <v>1111</v>
          </cell>
          <cell r="B1112" t="str">
            <v xml:space="preserve"> . Distance de contrôle</v>
          </cell>
          <cell r="C1112" t="str">
            <v xml:space="preserve"> . Distance to inspect</v>
          </cell>
          <cell r="D1112" t="str">
            <v>Zakres inspekcji</v>
          </cell>
          <cell r="E1112" t="str">
            <v>Distanta de inspectie</v>
          </cell>
          <cell r="F1112" t="str">
            <v>- Distancia de control</v>
          </cell>
          <cell r="G1112" t="str">
            <v>Distancia de controlo</v>
          </cell>
          <cell r="J1112" t="str">
            <v xml:space="preserve"> </v>
          </cell>
        </row>
        <row r="1113">
          <cell r="A1113">
            <v>1112</v>
          </cell>
          <cell r="B1113" t="str">
            <v xml:space="preserve"> . Temps de contrôle</v>
          </cell>
          <cell r="C1113" t="str">
            <v xml:space="preserve"> . Time to inspect</v>
          </cell>
          <cell r="D1113" t="str">
            <v>Czas inspekcji</v>
          </cell>
          <cell r="E1113" t="str">
            <v>Timpul de inspectie</v>
          </cell>
          <cell r="F1113" t="str">
            <v>- Tiempo de control</v>
          </cell>
          <cell r="G1113" t="str">
            <v>Tempo de controlo</v>
          </cell>
          <cell r="J1113" t="str">
            <v xml:space="preserve"> </v>
          </cell>
        </row>
        <row r="1114">
          <cell r="A1114">
            <v>1113</v>
          </cell>
          <cell r="B1114" t="str">
            <v xml:space="preserve"> . Type de lumière et/ou éclairage</v>
          </cell>
          <cell r="C1114" t="str">
            <v xml:space="preserve"> . Type of light and/or lighting conditions</v>
          </cell>
          <cell r="D1114" t="str">
            <v>Rodzaj światła i / lub warunki oświetlenia</v>
          </cell>
          <cell r="E1114" t="str">
            <v>Tipul de iluminat si/ sau conditiile de iluminat</v>
          </cell>
          <cell r="F1114" t="str">
            <v>- Tipo de luz y / o condiciones de iluminación</v>
          </cell>
          <cell r="G1114" t="str">
            <v>Tipo de luz ou luxs.</v>
          </cell>
          <cell r="J1114" t="str">
            <v xml:space="preserve"> </v>
          </cell>
        </row>
        <row r="1115">
          <cell r="A1115">
            <v>1114</v>
          </cell>
          <cell r="B1115" t="str">
            <v xml:space="preserve"> . Position de la pièce par rapport au regard</v>
          </cell>
          <cell r="C1115" t="str">
            <v xml:space="preserve"> . Position of the part in relation with the sight</v>
          </cell>
          <cell r="D1115" t="str">
            <v>Pozycja detalu w stosunku do rzutu oka</v>
          </cell>
          <cell r="E1115" t="str">
            <v>Pozitia piesei in relatia cu unghiul de inspectie.</v>
          </cell>
          <cell r="F1115" t="str">
            <v>- Posición de la pieza en relación al punto de inspección</v>
          </cell>
          <cell r="G1115" t="str">
            <v>Posição de controlo</v>
          </cell>
          <cell r="J1115" t="str">
            <v xml:space="preserve"> </v>
          </cell>
        </row>
        <row r="1116">
          <cell r="A1116">
            <v>1115</v>
          </cell>
          <cell r="B1116" t="str">
            <v xml:space="preserve"> . Parcours de contrôle</v>
          </cell>
          <cell r="C1116" t="str">
            <v xml:space="preserve"> . Inspection course</v>
          </cell>
          <cell r="E1116" t="str">
            <v>Puncte de control</v>
          </cell>
          <cell r="F1116" t="str">
            <v>- Inspección en curso</v>
          </cell>
          <cell r="G1116" t="str">
            <v>Caminho de controlo</v>
          </cell>
          <cell r="J1116" t="str">
            <v xml:space="preserve"> </v>
          </cell>
        </row>
        <row r="1117">
          <cell r="A1117">
            <v>1116</v>
          </cell>
          <cell r="B1117" t="str">
            <v xml:space="preserve"> . Maintien de la pièce pendant le contrôle</v>
          </cell>
          <cell r="C1117" t="str">
            <v xml:space="preserve"> . Handling part during inspection</v>
          </cell>
          <cell r="D1117" t="str">
            <v>Ułożenie detalu podczas kontroli</v>
          </cell>
          <cell r="E1117" t="str">
            <v>Manevrarea piesei in timpul inspectiei.</v>
          </cell>
          <cell r="F1117" t="str">
            <v>- Sujeción de la pieza durante la inspección</v>
          </cell>
          <cell r="G1117" t="str">
            <v>Caminho de controlo</v>
          </cell>
          <cell r="J1117" t="str">
            <v xml:space="preserve"> </v>
          </cell>
        </row>
        <row r="1118">
          <cell r="A1118">
            <v>1117</v>
          </cell>
          <cell r="B1118" t="str">
            <v>3 - Décrire les types de défauts</v>
          </cell>
          <cell r="C1118" t="str">
            <v>3 - Describe the defect types</v>
          </cell>
          <cell r="D1118" t="str">
            <v>Rodzaje defektów</v>
          </cell>
          <cell r="E1118" t="str">
            <v>Descrieti tipul de defecte</v>
          </cell>
          <cell r="F1118" t="str">
            <v>3- Describir el tipo de defecto</v>
          </cell>
          <cell r="G1118" t="str">
            <v>3 - Descrição do tipo de defeitos</v>
          </cell>
          <cell r="J1118" t="str">
            <v xml:space="preserve"> </v>
          </cell>
        </row>
        <row r="1119">
          <cell r="A1119">
            <v>1118</v>
          </cell>
          <cell r="B1119" t="str">
            <v>4 - Noter les critères d'acceptation :</v>
          </cell>
          <cell r="C1119" t="str">
            <v>4 - Note the acceptance criteria :</v>
          </cell>
          <cell r="D1119" t="str">
            <v>Kryteria akceptacji</v>
          </cell>
          <cell r="E1119" t="str">
            <v>Notati nivelele de acceptanta</v>
          </cell>
          <cell r="F1119" t="str">
            <v>4- Anotar los criterios de aceptación</v>
          </cell>
          <cell r="G1119" t="str">
            <v>4 - Descrever os critérios de aceitação</v>
          </cell>
          <cell r="J1119" t="str">
            <v xml:space="preserve"> </v>
          </cell>
        </row>
        <row r="1120">
          <cell r="A1120">
            <v>1119</v>
          </cell>
          <cell r="B1120" t="str">
            <v xml:space="preserve"> . Quantité</v>
          </cell>
          <cell r="C1120" t="str">
            <v xml:space="preserve"> . Quantity</v>
          </cell>
          <cell r="D1120" t="str">
            <v>Ilość</v>
          </cell>
          <cell r="E1120" t="str">
            <v xml:space="preserve"> . Cantitate</v>
          </cell>
          <cell r="F1120" t="str">
            <v xml:space="preserve"> . Cantidad</v>
          </cell>
          <cell r="G1120" t="str">
            <v>. Quantidade</v>
          </cell>
          <cell r="I1120" t="str">
            <v xml:space="preserve"> . Počet</v>
          </cell>
          <cell r="J1120" t="str">
            <v xml:space="preserve"> </v>
          </cell>
        </row>
        <row r="1121">
          <cell r="A1121">
            <v>1120</v>
          </cell>
          <cell r="B1121" t="str">
            <v xml:space="preserve"> . Dimensions</v>
          </cell>
          <cell r="C1121" t="str">
            <v xml:space="preserve"> . Dimensions</v>
          </cell>
          <cell r="D1121" t="str">
            <v>Wymiary</v>
          </cell>
          <cell r="E1121" t="str">
            <v>Dimensiuni</v>
          </cell>
          <cell r="F1121" t="str">
            <v>Dimensiones</v>
          </cell>
          <cell r="G1121" t="str">
            <v>. Dimensão</v>
          </cell>
          <cell r="J1121" t="str">
            <v xml:space="preserve"> </v>
          </cell>
        </row>
        <row r="1122">
          <cell r="A1122">
            <v>1121</v>
          </cell>
          <cell r="B1122" t="str">
            <v xml:space="preserve"> . Surface</v>
          </cell>
          <cell r="C1122" t="str">
            <v xml:space="preserve"> . Surface</v>
          </cell>
          <cell r="D1122" t="str">
            <v>Powierzchnia</v>
          </cell>
          <cell r="E1122" t="str">
            <v>Suprafata</v>
          </cell>
          <cell r="F1122" t="str">
            <v>Superficie</v>
          </cell>
          <cell r="G1122" t="str">
            <v>. Area</v>
          </cell>
          <cell r="J1122" t="str">
            <v xml:space="preserve"> </v>
          </cell>
        </row>
        <row r="1123">
          <cell r="A1123">
            <v>1122</v>
          </cell>
          <cell r="B1123" t="str">
            <v xml:space="preserve"> . Couleur</v>
          </cell>
          <cell r="C1123" t="str">
            <v xml:space="preserve"> . Color</v>
          </cell>
          <cell r="D1123" t="str">
            <v>Kolor</v>
          </cell>
          <cell r="E1123" t="str">
            <v>Culoare</v>
          </cell>
          <cell r="F1123" t="str">
            <v>Color</v>
          </cell>
          <cell r="G1123" t="str">
            <v>. Cor</v>
          </cell>
          <cell r="J1123" t="str">
            <v xml:space="preserve"> </v>
          </cell>
        </row>
        <row r="1124">
          <cell r="A1124">
            <v>1123</v>
          </cell>
          <cell r="B1124" t="str">
            <v>Zone de préhension</v>
          </cell>
          <cell r="C1124" t="str">
            <v>Handling aera</v>
          </cell>
          <cell r="D1124" t="str">
            <v>Obszar chwytania</v>
          </cell>
          <cell r="E1124" t="str">
            <v>Zona de manevrare</v>
          </cell>
          <cell r="F1124" t="str">
            <v>Zona de manipulación</v>
          </cell>
          <cell r="G1124" t="str">
            <v>Agarrar a peça em</v>
          </cell>
          <cell r="J1124" t="str">
            <v xml:space="preserve"> </v>
          </cell>
        </row>
        <row r="1125">
          <cell r="A1125">
            <v>1124</v>
          </cell>
          <cell r="B1125" t="str">
            <v>Parcours des yeux</v>
          </cell>
          <cell r="C1125" t="str">
            <v>Course of the eyes</v>
          </cell>
          <cell r="D1125" t="str">
            <v>Ścieżka kontroli wizualnej</v>
          </cell>
          <cell r="E1125" t="str">
            <v>Pozitionarea vederii</v>
          </cell>
          <cell r="F1125" t="str">
            <v>- Curso de los ojos</v>
          </cell>
          <cell r="G1125" t="str">
            <v>Caminho de controlo</v>
          </cell>
          <cell r="J1125" t="str">
            <v xml:space="preserve"> </v>
          </cell>
        </row>
        <row r="1126">
          <cell r="A1126">
            <v>1125</v>
          </cell>
          <cell r="J1126" t="str">
            <v xml:space="preserve"> </v>
          </cell>
        </row>
        <row r="1127">
          <cell r="A1127">
            <v>1126</v>
          </cell>
          <cell r="J1127" t="str">
            <v xml:space="preserve"> </v>
          </cell>
        </row>
        <row r="1128">
          <cell r="A1128">
            <v>1127</v>
          </cell>
          <cell r="J1128" t="str">
            <v xml:space="preserve"> </v>
          </cell>
        </row>
        <row r="1129">
          <cell r="A1129">
            <v>1128</v>
          </cell>
          <cell r="J1129" t="str">
            <v xml:space="preserve"> </v>
          </cell>
        </row>
        <row r="1130">
          <cell r="A1130">
            <v>1129</v>
          </cell>
          <cell r="J1130" t="str">
            <v xml:space="preserve"> </v>
          </cell>
        </row>
        <row r="1131">
          <cell r="A1131">
            <v>1130</v>
          </cell>
          <cell r="B1131" t="str">
            <v>FICHE DE REGLAGE INJECTION (Type) : KRAUSS MAFFEI</v>
          </cell>
          <cell r="C1131" t="str">
            <v>INJECTION ADJUSTMENT SHEET (Type) : KRAUSS MAFFEI</v>
          </cell>
          <cell r="D1131" t="str">
            <v>KARTA REGULACJI WTRYSKU (Ogólna) : KRAUSS MAFFEI</v>
          </cell>
          <cell r="E1131" t="str">
            <v>FISA DE REGLAJ INJECTIEI (Tip) : KRAUSS MAFFEI</v>
          </cell>
          <cell r="F1131" t="str">
            <v>FICHA DE AJUSTE DE INYECCIÓN (Tipo) : KRAUSS MAFFEI</v>
          </cell>
          <cell r="G1131" t="str">
            <v>FICHA TECNICA DE INJECÇÃO MAQ. KRAUSS MAFFEI</v>
          </cell>
          <cell r="H1131" t="str">
            <v>FRÖCCSÖNTÕ TECHNOLÓGIAI LAP (típusonként) : KRAUSS MAFFEI</v>
          </cell>
          <cell r="J1131" t="str">
            <v xml:space="preserve"> </v>
          </cell>
        </row>
        <row r="1132">
          <cell r="A1132">
            <v>1131</v>
          </cell>
          <cell r="B1132" t="str">
            <v>rapide</v>
          </cell>
          <cell r="C1132" t="str">
            <v>quick</v>
          </cell>
          <cell r="D1132" t="str">
            <v>szybko</v>
          </cell>
          <cell r="E1132" t="str">
            <v>rapid</v>
          </cell>
          <cell r="F1132" t="str">
            <v>Rapido</v>
          </cell>
          <cell r="G1132" t="str">
            <v>Rápido</v>
          </cell>
          <cell r="J1132" t="str">
            <v xml:space="preserve"> </v>
          </cell>
        </row>
        <row r="1133">
          <cell r="A1133">
            <v>1132</v>
          </cell>
          <cell r="B1133" t="str">
            <v>lente</v>
          </cell>
          <cell r="C1133" t="str">
            <v>slow</v>
          </cell>
          <cell r="D1133" t="str">
            <v>wolno</v>
          </cell>
          <cell r="E1133" t="str">
            <v>incet</v>
          </cell>
          <cell r="F1133" t="str">
            <v>Lento</v>
          </cell>
          <cell r="G1133" t="str">
            <v>Lento</v>
          </cell>
          <cell r="J1133" t="str">
            <v xml:space="preserve"> </v>
          </cell>
        </row>
        <row r="1134">
          <cell r="A1134">
            <v>1133</v>
          </cell>
          <cell r="B1134" t="str">
            <v>Début de freinage</v>
          </cell>
          <cell r="C1134" t="str">
            <v>Start of slow down</v>
          </cell>
          <cell r="D1134" t="str">
            <v>Początek hamowania</v>
          </cell>
          <cell r="E1134" t="str">
            <v>Inceputul franarii</v>
          </cell>
          <cell r="F1134" t="str">
            <v>- Inicio de la parada</v>
          </cell>
          <cell r="G1134" t="str">
            <v>Inicio de travagem</v>
          </cell>
          <cell r="J1134" t="str">
            <v xml:space="preserve"> </v>
          </cell>
        </row>
        <row r="1135">
          <cell r="A1135">
            <v>1134</v>
          </cell>
          <cell r="B1135" t="str">
            <v>Début</v>
          </cell>
          <cell r="C1135" t="str">
            <v>Start</v>
          </cell>
          <cell r="D1135" t="str">
            <v>Start</v>
          </cell>
          <cell r="E1135" t="str">
            <v>Start</v>
          </cell>
          <cell r="F1135" t="str">
            <v>Inicio</v>
          </cell>
          <cell r="G1135" t="str">
            <v>Arranque</v>
          </cell>
          <cell r="J1135" t="str">
            <v xml:space="preserve"> </v>
          </cell>
        </row>
        <row r="1136">
          <cell r="A1136">
            <v>1135</v>
          </cell>
          <cell r="B1136" t="str">
            <v>Securité moule</v>
          </cell>
          <cell r="C1136" t="str">
            <v>Mold safety</v>
          </cell>
          <cell r="D1136" t="str">
            <v>Biezpieczeństwo formy</v>
          </cell>
          <cell r="E1136" t="str">
            <v>Securitate matrita</v>
          </cell>
          <cell r="F1136" t="str">
            <v>- Molde seguridad</v>
          </cell>
          <cell r="G1136" t="str">
            <v>Segurança do molde</v>
          </cell>
          <cell r="J1136" t="str">
            <v xml:space="preserve"> </v>
          </cell>
        </row>
        <row r="1137">
          <cell r="A1137">
            <v>1136</v>
          </cell>
          <cell r="B1137" t="str">
            <v>Fin</v>
          </cell>
          <cell r="C1137" t="str">
            <v>End</v>
          </cell>
          <cell r="D1137" t="str">
            <v>Koniec</v>
          </cell>
          <cell r="E1137" t="str">
            <v>Sfarsit</v>
          </cell>
          <cell r="F1137" t="str">
            <v>Fin</v>
          </cell>
          <cell r="G1137" t="str">
            <v>Fim</v>
          </cell>
          <cell r="J1137" t="str">
            <v xml:space="preserve"> </v>
          </cell>
        </row>
        <row r="1138">
          <cell r="A1138">
            <v>1137</v>
          </cell>
          <cell r="B1138" t="str">
            <v>Temps sécurité moule</v>
          </cell>
          <cell r="C1138" t="str">
            <v>Mold safety time</v>
          </cell>
          <cell r="D1138" t="str">
            <v>Czas zabezpieczenia drogi formy</v>
          </cell>
          <cell r="E1138" t="str">
            <v>Timp securitate matrita</v>
          </cell>
          <cell r="F1138" t="str">
            <v>- Tiempo de seguridad moldeado</v>
          </cell>
          <cell r="G1138" t="str">
            <v>Tempo de segurança do molde</v>
          </cell>
          <cell r="J1138" t="str">
            <v xml:space="preserve"> </v>
          </cell>
        </row>
        <row r="1139">
          <cell r="A1139">
            <v>1138</v>
          </cell>
          <cell r="B1139" t="str">
            <v>Mouvements répétés</v>
          </cell>
          <cell r="C1139" t="str">
            <v>Repeated mouvments</v>
          </cell>
          <cell r="D1139" t="str">
            <v>Powtarzające się ruchy</v>
          </cell>
          <cell r="E1139" t="str">
            <v>Miscari repetate</v>
          </cell>
          <cell r="F1139" t="str">
            <v>Movimientos repetidos</v>
          </cell>
          <cell r="G1139" t="str">
            <v>Movimentos repetidos</v>
          </cell>
          <cell r="J1139" t="str">
            <v xml:space="preserve"> </v>
          </cell>
        </row>
        <row r="1140">
          <cell r="A1140">
            <v>1139</v>
          </cell>
          <cell r="B1140" t="str">
            <v>Début éjection</v>
          </cell>
          <cell r="C1140" t="str">
            <v>Ejection start</v>
          </cell>
          <cell r="D1140" t="str">
            <v>Początek wypychania</v>
          </cell>
          <cell r="E1140" t="str">
            <v>Inceput de aruncare</v>
          </cell>
          <cell r="F1140" t="str">
            <v>Inicio expulsión</v>
          </cell>
          <cell r="G1140" t="str">
            <v>Inicio da extracção</v>
          </cell>
          <cell r="J1140" t="str">
            <v xml:space="preserve"> </v>
          </cell>
        </row>
        <row r="1141">
          <cell r="A1141">
            <v>1140</v>
          </cell>
          <cell r="B1141" t="str">
            <v>Recul éjection</v>
          </cell>
          <cell r="C1141" t="str">
            <v>Ejection backward</v>
          </cell>
          <cell r="D1141" t="str">
            <v xml:space="preserve">Tylna pozycja wypychacza </v>
          </cell>
          <cell r="E1141" t="str">
            <v>Recul aruncare</v>
          </cell>
          <cell r="F1141" t="str">
            <v>Retroceso expulsión</v>
          </cell>
          <cell r="G1141" t="str">
            <v>Recuo da extração</v>
          </cell>
          <cell r="J1141" t="str">
            <v xml:space="preserve"> </v>
          </cell>
        </row>
        <row r="1142">
          <cell r="A1142">
            <v>1141</v>
          </cell>
          <cell r="B1142" t="str">
            <v>Course éjection</v>
          </cell>
          <cell r="C1142" t="str">
            <v>Ejection stroke</v>
          </cell>
          <cell r="D1142" t="str">
            <v>Droga wypychania</v>
          </cell>
          <cell r="E1142" t="str">
            <v>Cursa aruncare</v>
          </cell>
          <cell r="F1142" t="str">
            <v>Carrera de expulsión</v>
          </cell>
          <cell r="G1142" t="str">
            <v>Curso de extracção</v>
          </cell>
          <cell r="J1142" t="str">
            <v xml:space="preserve"> </v>
          </cell>
        </row>
        <row r="1143">
          <cell r="A1143">
            <v>1142</v>
          </cell>
          <cell r="B1143" t="str">
            <v>Ejection en temps</v>
          </cell>
          <cell r="C1143" t="str">
            <v>Ejection in time</v>
          </cell>
          <cell r="D1143" t="str">
            <v xml:space="preserve">Czas wypychania  </v>
          </cell>
          <cell r="E1143" t="str">
            <v>Aruncare in timp</v>
          </cell>
          <cell r="F1143" t="str">
            <v>Tiempo de expulsión</v>
          </cell>
          <cell r="G1143" t="str">
            <v xml:space="preserve">Duração da extracção </v>
          </cell>
          <cell r="J1143" t="str">
            <v xml:space="preserve"> </v>
          </cell>
        </row>
        <row r="1144">
          <cell r="A1144">
            <v>1143</v>
          </cell>
          <cell r="B1144" t="str">
            <v>Nbre courses éjection</v>
          </cell>
          <cell r="C1144" t="str">
            <v>Ejection stroke quantity</v>
          </cell>
          <cell r="D1144" t="str">
            <v>Ilość ruchów wypychacza</v>
          </cell>
          <cell r="E1144" t="str">
            <v>Numar curse aruncare</v>
          </cell>
          <cell r="F1144" t="str">
            <v xml:space="preserve">Número de carreras de expulsión </v>
          </cell>
          <cell r="G1144" t="str">
            <v>Nº de cursos da Extracção</v>
          </cell>
          <cell r="J1144" t="str">
            <v xml:space="preserve"> </v>
          </cell>
        </row>
        <row r="1145">
          <cell r="A1145">
            <v>1144</v>
          </cell>
          <cell r="B1145" t="str">
            <v>Pression avance éjection</v>
          </cell>
          <cell r="C1145" t="str">
            <v>Ejection forward pressure</v>
          </cell>
          <cell r="D1145" t="str">
            <v>Ciśnienie w przód wypychacza</v>
          </cell>
          <cell r="E1145" t="str">
            <v>Presiune avans aruncare</v>
          </cell>
          <cell r="F1145" t="str">
            <v>Presión avance de expulsión</v>
          </cell>
          <cell r="G1145" t="str">
            <v>Pressão de avanço da Extracção</v>
          </cell>
          <cell r="J1145" t="str">
            <v xml:space="preserve"> </v>
          </cell>
        </row>
        <row r="1146">
          <cell r="A1146">
            <v>1145</v>
          </cell>
          <cell r="B1146" t="str">
            <v>Pression recul éjection</v>
          </cell>
          <cell r="C1146" t="str">
            <v>Ejection backward pressure</v>
          </cell>
          <cell r="D1146" t="str">
            <v>Ciśnienie w tył wypychacza</v>
          </cell>
          <cell r="E1146" t="str">
            <v>Presiune recul aruncare</v>
          </cell>
          <cell r="F1146" t="str">
            <v>Presión retroceso expulsión</v>
          </cell>
          <cell r="G1146" t="str">
            <v>Pressão de atraso da extracção</v>
          </cell>
          <cell r="J1146" t="str">
            <v xml:space="preserve"> </v>
          </cell>
        </row>
        <row r="1147">
          <cell r="A1147">
            <v>1146</v>
          </cell>
          <cell r="B1147" t="str">
            <v>Vitesse constante</v>
          </cell>
          <cell r="C1147" t="str">
            <v>Constant speed</v>
          </cell>
          <cell r="D1147" t="str">
            <v>Stała prędkość</v>
          </cell>
          <cell r="E1147" t="str">
            <v>Viteza constanta</v>
          </cell>
          <cell r="F1147" t="str">
            <v>Velocidad constante</v>
          </cell>
          <cell r="G1147" t="str">
            <v>Velocidade constante</v>
          </cell>
          <cell r="J1147" t="str">
            <v xml:space="preserve"> </v>
          </cell>
        </row>
        <row r="1148">
          <cell r="A1148">
            <v>1147</v>
          </cell>
          <cell r="B1148" t="str">
            <v>Profil pression injection</v>
          </cell>
          <cell r="C1148" t="str">
            <v>Profile of injection pressure</v>
          </cell>
          <cell r="D1148" t="str">
            <v>Profil ciśnienia wtrysku</v>
          </cell>
          <cell r="E1148" t="str">
            <v>Profilul presiunii de injectie</v>
          </cell>
          <cell r="F1148" t="str">
            <v>Perfil del  la presión de inyección</v>
          </cell>
          <cell r="G1148" t="str">
            <v>Perfil de pressão de injecção</v>
          </cell>
          <cell r="J1148" t="str">
            <v xml:space="preserve"> </v>
          </cell>
        </row>
        <row r="1149">
          <cell r="A1149">
            <v>1148</v>
          </cell>
          <cell r="B1149" t="str">
            <v>Pression constante</v>
          </cell>
          <cell r="C1149" t="str">
            <v>Constant pressure</v>
          </cell>
          <cell r="D1149" t="str">
            <v>Ciśnienie stałe</v>
          </cell>
          <cell r="E1149" t="str">
            <v>Presiune constanta</v>
          </cell>
          <cell r="F1149" t="str">
            <v>Presión constante</v>
          </cell>
          <cell r="G1149" t="str">
            <v>Pressão constante</v>
          </cell>
          <cell r="J1149" t="str">
            <v xml:space="preserve"> </v>
          </cell>
        </row>
        <row r="1150">
          <cell r="A1150">
            <v>1149</v>
          </cell>
          <cell r="B1150" t="str">
            <v>Ejection bouchon</v>
          </cell>
          <cell r="C1150" t="str">
            <v>Cold-slug ejection</v>
          </cell>
          <cell r="D1150" t="str">
            <v xml:space="preserve"> --&gt; polish ?</v>
          </cell>
          <cell r="E1150" t="str">
            <v>Orificiu ejectie</v>
          </cell>
          <cell r="F1150" t="str">
            <v>Tapon expulsión</v>
          </cell>
          <cell r="G1150" t="str">
            <v>Extracção ??</v>
          </cell>
          <cell r="J1150" t="str">
            <v xml:space="preserve"> </v>
          </cell>
        </row>
        <row r="1151">
          <cell r="A1151">
            <v>1150</v>
          </cell>
          <cell r="B1151" t="str">
            <v>Extrusion / injection</v>
          </cell>
          <cell r="C1151" t="str">
            <v>Extrusion / injection</v>
          </cell>
          <cell r="D1151" t="str">
            <v>Intruzja / Wtrysk</v>
          </cell>
          <cell r="E1151" t="str">
            <v>Extruzie/Injectie</v>
          </cell>
          <cell r="F1151" t="str">
            <v>Extrusión / inyección</v>
          </cell>
          <cell r="G1151" t="str">
            <v>Extrusão/injecção</v>
          </cell>
          <cell r="J1151" t="str">
            <v xml:space="preserve"> </v>
          </cell>
        </row>
        <row r="1152">
          <cell r="A1152">
            <v>1151</v>
          </cell>
          <cell r="B1152" t="str">
            <v>Commut tps</v>
          </cell>
          <cell r="C1152" t="str">
            <v>Commut time</v>
          </cell>
          <cell r="D1152" t="str">
            <v>Czas docisku</v>
          </cell>
          <cell r="E1152" t="str">
            <v>Comut in timp</v>
          </cell>
          <cell r="F1152" t="str">
            <v>Conmut tiempo</v>
          </cell>
          <cell r="G1152" t="str">
            <v>Tempo de comutação</v>
          </cell>
          <cell r="J1152" t="str">
            <v xml:space="preserve"> </v>
          </cell>
        </row>
        <row r="1153">
          <cell r="A1153">
            <v>1152</v>
          </cell>
          <cell r="B1153" t="str">
            <v>Commut hydrau</v>
          </cell>
          <cell r="C1153" t="str">
            <v>Commut hydrau</v>
          </cell>
          <cell r="D1153" t="str">
            <v>Docisk hydrauliczny</v>
          </cell>
          <cell r="E1153" t="str">
            <v>Commut hidrau</v>
          </cell>
          <cell r="F1153" t="str">
            <v>Conmut hidráu</v>
          </cell>
          <cell r="G1153" t="str">
            <v>Comutação Hidraulica</v>
          </cell>
          <cell r="H1153" t="str">
            <v>Commut hidrau</v>
          </cell>
          <cell r="I1153" t="str">
            <v>Prepnutia hydrau</v>
          </cell>
          <cell r="J1153" t="str">
            <v xml:space="preserve"> </v>
          </cell>
        </row>
        <row r="1154">
          <cell r="A1154">
            <v>1153</v>
          </cell>
          <cell r="B1154" t="str">
            <v>Profil maintien</v>
          </cell>
          <cell r="C1154" t="str">
            <v>Holding profile</v>
          </cell>
          <cell r="D1154" t="str">
            <v>Profil docisku</v>
          </cell>
          <cell r="E1154" t="str">
            <v>Profil retinere</v>
          </cell>
          <cell r="F1154" t="str">
            <v>Perfil de mantenimiento</v>
          </cell>
          <cell r="G1154" t="str">
            <v>Perfil de 2ª pressão</v>
          </cell>
          <cell r="J1154" t="str">
            <v xml:space="preserve"> </v>
          </cell>
        </row>
        <row r="1155">
          <cell r="A1155">
            <v>1154</v>
          </cell>
          <cell r="B1155" t="str">
            <v>T°C cst</v>
          </cell>
          <cell r="C1155" t="str">
            <v>Cst T°C</v>
          </cell>
          <cell r="D1155" t="str">
            <v>Temperatura stała</v>
          </cell>
          <cell r="E1155" t="str">
            <v>Cst T C</v>
          </cell>
          <cell r="F1155" t="str">
            <v>TºC cte</v>
          </cell>
          <cell r="G1155" t="str">
            <v>Tº C cst</v>
          </cell>
          <cell r="J1155" t="str">
            <v xml:space="preserve"> </v>
          </cell>
        </row>
        <row r="1156">
          <cell r="A1156">
            <v>1155</v>
          </cell>
          <cell r="B1156" t="str">
            <v>Profil vitesse dosage</v>
          </cell>
          <cell r="C1156" t="str">
            <v>Dosage speed profile</v>
          </cell>
          <cell r="D1156" t="str">
            <v>Profil prędkości dozowania</v>
          </cell>
          <cell r="E1156" t="str">
            <v>Profil viteza dozare</v>
          </cell>
          <cell r="F1156" t="str">
            <v>Perfil velocidad de dosificación</v>
          </cell>
          <cell r="G1156" t="str">
            <v xml:space="preserve">Perfil de velocidade de dosagem </v>
          </cell>
          <cell r="J1156" t="str">
            <v xml:space="preserve"> </v>
          </cell>
        </row>
        <row r="1157">
          <cell r="A1157">
            <v>1156</v>
          </cell>
          <cell r="B1157" t="str">
            <v>Profil contrepression</v>
          </cell>
          <cell r="C1157" t="str">
            <v>Back pressure profile</v>
          </cell>
          <cell r="D1157" t="str">
            <v>Profil przeciw ciśnienia</v>
          </cell>
          <cell r="E1157" t="str">
            <v>Profil contrapresiune</v>
          </cell>
          <cell r="F1157" t="str">
            <v>Perfil contrapresión</v>
          </cell>
          <cell r="G1157" t="str">
            <v>Perfil de Contrapressão</v>
          </cell>
          <cell r="J1157" t="str">
            <v xml:space="preserve"> </v>
          </cell>
        </row>
        <row r="1158">
          <cell r="A1158">
            <v>1157</v>
          </cell>
          <cell r="B1158" t="str">
            <v>Contrepression constante</v>
          </cell>
          <cell r="C1158" t="str">
            <v>Constant back pressure</v>
          </cell>
          <cell r="D1158" t="str">
            <v>Nastawcze przeciwciśnienie</v>
          </cell>
          <cell r="E1158" t="str">
            <v xml:space="preserve"> Contrapresiune constanta</v>
          </cell>
          <cell r="F1158" t="str">
            <v>Contrapresión constante</v>
          </cell>
          <cell r="G1158" t="str">
            <v>Contrapressão constante</v>
          </cell>
          <cell r="J1158" t="str">
            <v xml:space="preserve"> </v>
          </cell>
        </row>
        <row r="1159">
          <cell r="A1159">
            <v>1158</v>
          </cell>
          <cell r="B1159" t="str">
            <v>Recul</v>
          </cell>
          <cell r="C1159" t="str">
            <v>Backward</v>
          </cell>
          <cell r="D1159" t="str">
            <v xml:space="preserve">Powrót  </v>
          </cell>
          <cell r="E1159" t="str">
            <v>Recul</v>
          </cell>
          <cell r="F1159" t="str">
            <v>Retroceso</v>
          </cell>
          <cell r="G1159" t="str">
            <v>Recuo</v>
          </cell>
          <cell r="J1159" t="str">
            <v xml:space="preserve"> </v>
          </cell>
        </row>
        <row r="1160">
          <cell r="A1160">
            <v>1159</v>
          </cell>
          <cell r="B1160" t="str">
            <v>Position moule</v>
          </cell>
          <cell r="C1160" t="str">
            <v>Mold position</v>
          </cell>
          <cell r="D1160" t="str">
            <v>Pozycja formy</v>
          </cell>
          <cell r="E1160" t="str">
            <v>Pozitia matritei</v>
          </cell>
          <cell r="F1160" t="str">
            <v>Posición molde</v>
          </cell>
          <cell r="G1160" t="str">
            <v>Posição do Molde</v>
          </cell>
          <cell r="J1160" t="str">
            <v xml:space="preserve"> </v>
          </cell>
        </row>
        <row r="1161">
          <cell r="A1161">
            <v>1160</v>
          </cell>
          <cell r="B1161" t="str">
            <v>Surveillance</v>
          </cell>
          <cell r="C1161" t="str">
            <v>Monitoring</v>
          </cell>
          <cell r="D1161" t="str">
            <v xml:space="preserve">Kontrola  </v>
          </cell>
          <cell r="E1161" t="str">
            <v>Monitorizare</v>
          </cell>
          <cell r="F1161" t="str">
            <v>Vigilancia</v>
          </cell>
          <cell r="G1161" t="str">
            <v>Monitorização</v>
          </cell>
          <cell r="J1161" t="str">
            <v xml:space="preserve"> </v>
          </cell>
        </row>
        <row r="1162">
          <cell r="A1162">
            <v>1161</v>
          </cell>
          <cell r="B1162" t="str">
            <v>Temps après verr.</v>
          </cell>
          <cell r="C1162" t="str">
            <v>Time after clamping</v>
          </cell>
          <cell r="D1162" t="str">
            <v>Czas po zaryglowaniu formy</v>
          </cell>
          <cell r="E1162" t="str">
            <v xml:space="preserve"> Timp dupa inchidere</v>
          </cell>
          <cell r="F1162" t="str">
            <v>Tiempo antes de cierre</v>
          </cell>
          <cell r="G1162" t="str">
            <v>Tempo após fecho</v>
          </cell>
          <cell r="J1162" t="str">
            <v xml:space="preserve"> </v>
          </cell>
        </row>
        <row r="1163">
          <cell r="A1163">
            <v>1162</v>
          </cell>
          <cell r="B1163" t="str">
            <v>Arrêt intermédiaire</v>
          </cell>
          <cell r="C1163" t="str">
            <v>Intermediate stop</v>
          </cell>
          <cell r="D1163" t="str">
            <v>Zatrzymanie przejściowe</v>
          </cell>
          <cell r="E1163" t="str">
            <v>Oprire intermediara</v>
          </cell>
          <cell r="F1163" t="str">
            <v>Paro intermedio</v>
          </cell>
          <cell r="G1163" t="str">
            <v>paragem intermédia</v>
          </cell>
          <cell r="J1163" t="str">
            <v xml:space="preserve"> </v>
          </cell>
        </row>
        <row r="1164">
          <cell r="A1164">
            <v>1163</v>
          </cell>
          <cell r="B1164" t="str">
            <v>Fin de course</v>
          </cell>
          <cell r="C1164" t="str">
            <v>Stroke end</v>
          </cell>
          <cell r="D1164" t="str">
            <v>Koniec cyklu</v>
          </cell>
          <cell r="E1164" t="str">
            <v xml:space="preserve"> -Sfarsit cursa</v>
          </cell>
          <cell r="F1164" t="str">
            <v>Fin de carrera</v>
          </cell>
          <cell r="G1164" t="str">
            <v>Fim de curso</v>
          </cell>
          <cell r="J1164" t="str">
            <v xml:space="preserve"> </v>
          </cell>
        </row>
        <row r="1165">
          <cell r="A1165">
            <v>1164</v>
          </cell>
          <cell r="I1165" t="str">
            <v xml:space="preserve"> </v>
          </cell>
          <cell r="J1165" t="str">
            <v xml:space="preserve"> </v>
          </cell>
        </row>
        <row r="1166">
          <cell r="A1166">
            <v>1165</v>
          </cell>
          <cell r="I1166" t="str">
            <v xml:space="preserve"> </v>
          </cell>
          <cell r="J1166" t="str">
            <v xml:space="preserve"> </v>
          </cell>
        </row>
        <row r="1167">
          <cell r="A1167">
            <v>1166</v>
          </cell>
          <cell r="I1167" t="str">
            <v xml:space="preserve"> </v>
          </cell>
          <cell r="J1167" t="str">
            <v xml:space="preserve"> </v>
          </cell>
        </row>
        <row r="1168">
          <cell r="A1168">
            <v>1167</v>
          </cell>
          <cell r="I1168" t="str">
            <v xml:space="preserve"> </v>
          </cell>
          <cell r="J1168" t="str">
            <v xml:space="preserve"> </v>
          </cell>
        </row>
        <row r="1169">
          <cell r="A1169">
            <v>1168</v>
          </cell>
          <cell r="I1169" t="str">
            <v xml:space="preserve"> </v>
          </cell>
          <cell r="J1169" t="str">
            <v xml:space="preserve"> </v>
          </cell>
        </row>
        <row r="1170">
          <cell r="A1170">
            <v>1169</v>
          </cell>
          <cell r="I1170" t="str">
            <v xml:space="preserve"> </v>
          </cell>
          <cell r="J1170" t="str">
            <v xml:space="preserve"> </v>
          </cell>
        </row>
        <row r="1171">
          <cell r="A1171">
            <v>1170</v>
          </cell>
          <cell r="B1171" t="str">
            <v>FICHE DE REGLAGE SOUFFLAGE</v>
          </cell>
          <cell r="C1171" t="str">
            <v>BLOW MOLDING ADJUSTMENT SHEET</v>
          </cell>
          <cell r="D1171" t="str">
            <v>KARTA REGULACJI ROZDMUCHU</v>
          </cell>
          <cell r="E1171" t="str">
            <v>FISA DE REGLAJ BLOW</v>
          </cell>
          <cell r="F1171" t="str">
            <v>FICHA DE AJUSTE DE GOLPE</v>
          </cell>
          <cell r="I1171" t="str">
            <v xml:space="preserve"> </v>
          </cell>
          <cell r="J1171" t="str">
            <v xml:space="preserve"> </v>
          </cell>
        </row>
        <row r="1172">
          <cell r="A1172">
            <v>1171</v>
          </cell>
          <cell r="B1172" t="str">
            <v>Souffleuse n°</v>
          </cell>
          <cell r="C1172" t="str">
            <v>Blower</v>
          </cell>
          <cell r="D1172" t="str">
            <v>Dmuchawa</v>
          </cell>
          <cell r="I1172" t="str">
            <v xml:space="preserve"> </v>
          </cell>
          <cell r="J1172" t="str">
            <v xml:space="preserve"> </v>
          </cell>
        </row>
        <row r="1173">
          <cell r="A1173">
            <v>1172</v>
          </cell>
          <cell r="B1173" t="str">
            <v>Ø Filière</v>
          </cell>
          <cell r="C1173" t="str">
            <v>Ø Die</v>
          </cell>
          <cell r="D1173" t="str">
            <v>Śr Matrycy</v>
          </cell>
          <cell r="I1173" t="str">
            <v xml:space="preserve"> </v>
          </cell>
          <cell r="J1173" t="str">
            <v xml:space="preserve"> </v>
          </cell>
        </row>
        <row r="1174">
          <cell r="A1174">
            <v>1173</v>
          </cell>
          <cell r="B1174" t="str">
            <v>Ø poinçoin</v>
          </cell>
          <cell r="C1174" t="str">
            <v>Ø punch</v>
          </cell>
          <cell r="D1174" t="str">
            <v>Śr Igły</v>
          </cell>
          <cell r="I1174" t="str">
            <v xml:space="preserve"> </v>
          </cell>
          <cell r="J1174" t="str">
            <v xml:space="preserve"> </v>
          </cell>
        </row>
        <row r="1175">
          <cell r="A1175">
            <v>1174</v>
          </cell>
          <cell r="B1175" t="str">
            <v>Recette n°</v>
          </cell>
          <cell r="C1175" t="str">
            <v>Recipe n#</v>
          </cell>
          <cell r="D1175" t="str">
            <v>Nr receptury</v>
          </cell>
          <cell r="I1175" t="str">
            <v xml:space="preserve"> </v>
          </cell>
          <cell r="J1175" t="str">
            <v xml:space="preserve"> </v>
          </cell>
        </row>
        <row r="1176">
          <cell r="A1176">
            <v>1175</v>
          </cell>
          <cell r="B1176" t="str">
            <v>Poids moulée</v>
          </cell>
          <cell r="C1176" t="str">
            <v>Weight of a shot</v>
          </cell>
          <cell r="D1176" t="str">
            <v>Waga porcji</v>
          </cell>
          <cell r="I1176" t="str">
            <v xml:space="preserve"> </v>
          </cell>
          <cell r="J1176" t="str">
            <v xml:space="preserve"> </v>
          </cell>
        </row>
        <row r="1177">
          <cell r="A1177">
            <v>1176</v>
          </cell>
          <cell r="B1177" t="str">
            <v>Poids net G</v>
          </cell>
          <cell r="C1177" t="str">
            <v>Net weight L</v>
          </cell>
          <cell r="D1177" t="str">
            <v>Waga detalu lewego bez wlewka</v>
          </cell>
          <cell r="I1177" t="str">
            <v xml:space="preserve"> </v>
          </cell>
          <cell r="J1177" t="str">
            <v xml:space="preserve"> </v>
          </cell>
        </row>
        <row r="1178">
          <cell r="A1178">
            <v>1177</v>
          </cell>
          <cell r="B1178" t="str">
            <v>Poids net D</v>
          </cell>
          <cell r="C1178" t="str">
            <v>Net weight R</v>
          </cell>
          <cell r="D1178" t="str">
            <v>Waga detalu prawego bez wlewka</v>
          </cell>
          <cell r="I1178" t="str">
            <v xml:space="preserve"> </v>
          </cell>
          <cell r="J1178" t="str">
            <v xml:space="preserve"> </v>
          </cell>
        </row>
        <row r="1179">
          <cell r="A1179">
            <v>1178</v>
          </cell>
          <cell r="B1179" t="str">
            <v>Pièce validée à 100% broyé</v>
          </cell>
          <cell r="C1179" t="str">
            <v>Approved part at 100% regrind</v>
          </cell>
          <cell r="D1179" t="str">
            <v>Detal zatwierdzony 100% regranulatu</v>
          </cell>
          <cell r="I1179" t="str">
            <v xml:space="preserve"> </v>
          </cell>
          <cell r="J1179" t="str">
            <v xml:space="preserve"> </v>
          </cell>
        </row>
        <row r="1180">
          <cell r="A1180">
            <v>1179</v>
          </cell>
          <cell r="B1180" t="str">
            <v>Temps 1</v>
          </cell>
          <cell r="C1180" t="str">
            <v>Timers 1</v>
          </cell>
          <cell r="D1180" t="str">
            <v>Czas 1</v>
          </cell>
          <cell r="I1180" t="str">
            <v xml:space="preserve"> </v>
          </cell>
          <cell r="J1180" t="str">
            <v xml:space="preserve"> </v>
          </cell>
        </row>
        <row r="1181">
          <cell r="A1181">
            <v>1180</v>
          </cell>
          <cell r="B1181" t="str">
            <v>Temps soufflage</v>
          </cell>
          <cell r="C1181" t="str">
            <v>Blowing time</v>
          </cell>
          <cell r="D1181" t="str">
            <v>Czas rozdmuchu</v>
          </cell>
          <cell r="I1181" t="str">
            <v xml:space="preserve"> </v>
          </cell>
          <cell r="J1181" t="str">
            <v xml:space="preserve"> </v>
          </cell>
        </row>
        <row r="1182">
          <cell r="A1182">
            <v>1181</v>
          </cell>
          <cell r="B1182" t="str">
            <v>Retard soufflage</v>
          </cell>
          <cell r="C1182" t="str">
            <v>Blowing delay</v>
          </cell>
          <cell r="D1182" t="str">
            <v>Opóźnienie rozdmuchu</v>
          </cell>
          <cell r="I1182" t="str">
            <v xml:space="preserve"> </v>
          </cell>
          <cell r="J1182" t="str">
            <v xml:space="preserve"> </v>
          </cell>
        </row>
        <row r="1183">
          <cell r="A1183">
            <v>1182</v>
          </cell>
          <cell r="B1183" t="str">
            <v>Temps de dégazage</v>
          </cell>
          <cell r="C1183" t="str">
            <v>Degazing time</v>
          </cell>
          <cell r="D1183" t="str">
            <v>Czas odgazowania</v>
          </cell>
          <cell r="I1183" t="str">
            <v xml:space="preserve"> </v>
          </cell>
          <cell r="J1183" t="str">
            <v xml:space="preserve"> </v>
          </cell>
        </row>
        <row r="1184">
          <cell r="A1184">
            <v>1183</v>
          </cell>
          <cell r="B1184" t="str">
            <v>Retard expulsion</v>
          </cell>
          <cell r="C1184" t="str">
            <v>Push-out delay</v>
          </cell>
          <cell r="D1184" t="str">
            <v>Opóźnienie wyrzutu</v>
          </cell>
          <cell r="I1184" t="str">
            <v xml:space="preserve"> </v>
          </cell>
          <cell r="J1184" t="str">
            <v xml:space="preserve"> </v>
          </cell>
        </row>
        <row r="1185">
          <cell r="A1185">
            <v>1184</v>
          </cell>
          <cell r="B1185" t="str">
            <v>Retard pré-soufflage</v>
          </cell>
          <cell r="C1185" t="str">
            <v>Pre-blowing delay</v>
          </cell>
          <cell r="D1185" t="str">
            <v>Opóźnienie rozdmuchu wstępnego</v>
          </cell>
          <cell r="I1185" t="str">
            <v xml:space="preserve"> </v>
          </cell>
          <cell r="J1185" t="str">
            <v xml:space="preserve"> </v>
          </cell>
        </row>
        <row r="1186">
          <cell r="A1186">
            <v>1185</v>
          </cell>
          <cell r="B1186" t="str">
            <v>Temps pré-soufflage</v>
          </cell>
          <cell r="C1186" t="str">
            <v>Pre-blowing time</v>
          </cell>
          <cell r="D1186" t="str">
            <v>Czas rozdmuchu wstępnego</v>
          </cell>
          <cell r="I1186" t="str">
            <v xml:space="preserve"> </v>
          </cell>
          <cell r="J1186" t="str">
            <v xml:space="preserve"> </v>
          </cell>
        </row>
        <row r="1187">
          <cell r="A1187">
            <v>1186</v>
          </cell>
          <cell r="B1187" t="str">
            <v>Retard av. pince pré-souf</v>
          </cell>
          <cell r="C1187" t="str">
            <v>Stakeout pre-blow forward delay</v>
          </cell>
          <cell r="D1187" t="str">
            <v>Opóźnienie przedmuchu w przód</v>
          </cell>
          <cell r="I1187" t="str">
            <v xml:space="preserve"> </v>
          </cell>
          <cell r="J1187" t="str">
            <v xml:space="preserve"> </v>
          </cell>
        </row>
        <row r="1188">
          <cell r="A1188">
            <v>1187</v>
          </cell>
          <cell r="B1188" t="str">
            <v>Retard ret. pince pré-souf</v>
          </cell>
          <cell r="C1188" t="str">
            <v>Stakeout pre-blow backward delay</v>
          </cell>
          <cell r="D1188" t="str">
            <v>Opóźnienie przedmuchu w tył</v>
          </cell>
          <cell r="I1188" t="str">
            <v xml:space="preserve"> </v>
          </cell>
          <cell r="J1188" t="str">
            <v xml:space="preserve"> </v>
          </cell>
        </row>
        <row r="1189">
          <cell r="A1189">
            <v>1188</v>
          </cell>
          <cell r="B1189" t="str">
            <v>Retard montée canne</v>
          </cell>
          <cell r="C1189" t="str">
            <v>Blowpin up delay</v>
          </cell>
          <cell r="D1189" t="str">
            <v>Opóźnienie górne pinu dmuchającego</v>
          </cell>
          <cell r="I1189" t="str">
            <v xml:space="preserve"> </v>
          </cell>
          <cell r="J1189" t="str">
            <v xml:space="preserve"> </v>
          </cell>
        </row>
        <row r="1190">
          <cell r="A1190">
            <v>1189</v>
          </cell>
          <cell r="B1190" t="str">
            <v>Retard descente canne</v>
          </cell>
          <cell r="C1190" t="str">
            <v>Blowpin down delay</v>
          </cell>
          <cell r="D1190" t="str">
            <v>Opóźnienie dolne pinu dmuchającego</v>
          </cell>
          <cell r="I1190" t="str">
            <v xml:space="preserve"> </v>
          </cell>
          <cell r="J1190" t="str">
            <v xml:space="preserve"> </v>
          </cell>
        </row>
        <row r="1191">
          <cell r="A1191">
            <v>1190</v>
          </cell>
          <cell r="B1191" t="str">
            <v>Choisir une machine</v>
          </cell>
          <cell r="C1191" t="str">
            <v>Choose a machine</v>
          </cell>
          <cell r="D1191" t="str">
            <v>Wybierz maszynę</v>
          </cell>
          <cell r="E1191" t="str">
            <v>Choose a machine</v>
          </cell>
          <cell r="F1191" t="str">
            <v>Choose a machine</v>
          </cell>
          <cell r="H1191" t="str">
            <v>Choose a machine</v>
          </cell>
          <cell r="I1191" t="str">
            <v>Choose a 'stroj'</v>
          </cell>
          <cell r="J1191" t="str">
            <v xml:space="preserve"> </v>
          </cell>
        </row>
        <row r="1192">
          <cell r="A1192">
            <v>1191</v>
          </cell>
          <cell r="B1192" t="str">
            <v>Choisir 1 seule machine</v>
          </cell>
          <cell r="C1192" t="str">
            <v>Choose only 1 machine</v>
          </cell>
          <cell r="D1192" t="str">
            <v>Wybierz tylko 1 maszynę</v>
          </cell>
          <cell r="J1192" t="str">
            <v xml:space="preserve"> </v>
          </cell>
        </row>
        <row r="1193">
          <cell r="A1193">
            <v>1192</v>
          </cell>
          <cell r="B1193" t="str">
            <v>Temps 2</v>
          </cell>
          <cell r="C1193" t="str">
            <v>Timers 2</v>
          </cell>
          <cell r="D1193" t="str">
            <v>Czasy 2</v>
          </cell>
          <cell r="J1193" t="str">
            <v xml:space="preserve"> </v>
          </cell>
        </row>
        <row r="1194">
          <cell r="A1194">
            <v>1193</v>
          </cell>
          <cell r="B1194" t="str">
            <v>Percussion</v>
          </cell>
          <cell r="C1194" t="str">
            <v>Percussion</v>
          </cell>
          <cell r="D1194" t="str">
            <v>Uderzenie</v>
          </cell>
          <cell r="J1194" t="str">
            <v xml:space="preserve"> </v>
          </cell>
        </row>
        <row r="1195">
          <cell r="A1195">
            <v>1194</v>
          </cell>
          <cell r="B1195" t="str">
            <v>Retard dévissage</v>
          </cell>
          <cell r="C1195" t="str">
            <v>Unscrewing delay</v>
          </cell>
          <cell r="D1195" t="str">
            <v>Opóźnienie odkręcania</v>
          </cell>
          <cell r="J1195" t="str">
            <v xml:space="preserve"> </v>
          </cell>
        </row>
        <row r="1196">
          <cell r="A1196">
            <v>1195</v>
          </cell>
          <cell r="B1196" t="str">
            <v>Retard aiguille</v>
          </cell>
          <cell r="C1196" t="str">
            <v>Needle delay</v>
          </cell>
          <cell r="D1196" t="str">
            <v>Opóźnienie Iglicy</v>
          </cell>
          <cell r="J1196" t="str">
            <v xml:space="preserve"> </v>
          </cell>
        </row>
        <row r="1197">
          <cell r="A1197">
            <v>1196</v>
          </cell>
          <cell r="B1197" t="str">
            <v>Retard avance pince</v>
          </cell>
          <cell r="C1197" t="str">
            <v>Stakeout forward delay</v>
          </cell>
          <cell r="D1197" t="str">
            <v>Opóźnienie górne chwytaka</v>
          </cell>
          <cell r="J1197" t="str">
            <v xml:space="preserve"> </v>
          </cell>
        </row>
        <row r="1198">
          <cell r="A1198">
            <v>1197</v>
          </cell>
          <cell r="B1198" t="str">
            <v>Retard fermeture pince</v>
          </cell>
          <cell r="C1198" t="str">
            <v>Stakeout closing delay</v>
          </cell>
          <cell r="D1198" t="str">
            <v>Opóźnienie zamknięcia chwytaka</v>
          </cell>
          <cell r="J1198" t="str">
            <v xml:space="preserve"> </v>
          </cell>
        </row>
        <row r="1199">
          <cell r="A1199">
            <v>1198</v>
          </cell>
          <cell r="B1199" t="str">
            <v>Retard ouverture pince</v>
          </cell>
          <cell r="C1199" t="str">
            <v>Stakeout opening delay</v>
          </cell>
          <cell r="D1199" t="str">
            <v>Opóźnienie otwarcia chwytaka</v>
          </cell>
          <cell r="J1199" t="str">
            <v xml:space="preserve"> </v>
          </cell>
        </row>
        <row r="1200">
          <cell r="A1200">
            <v>1199</v>
          </cell>
          <cell r="B1200" t="str">
            <v>Retard montée pince</v>
          </cell>
          <cell r="C1200" t="str">
            <v>Stakeout up delay</v>
          </cell>
          <cell r="D1200" t="str">
            <v>Górne opóźnienie chwytaka</v>
          </cell>
          <cell r="J1200" t="str">
            <v xml:space="preserve"> </v>
          </cell>
        </row>
        <row r="1201">
          <cell r="A1201">
            <v>1200</v>
          </cell>
          <cell r="B1201" t="str">
            <v>Retard ouverture porte</v>
          </cell>
          <cell r="C1201" t="str">
            <v>Door opening delay</v>
          </cell>
          <cell r="D1201" t="str">
            <v xml:space="preserve">Opóźnienie otwarcia drzwi  </v>
          </cell>
          <cell r="J1201" t="str">
            <v xml:space="preserve"> </v>
          </cell>
        </row>
        <row r="1202">
          <cell r="A1202">
            <v>1201</v>
          </cell>
          <cell r="I1202" t="str">
            <v xml:space="preserve"> </v>
          </cell>
          <cell r="J1202" t="str">
            <v xml:space="preserve"> </v>
          </cell>
        </row>
        <row r="1203">
          <cell r="A1203">
            <v>1202</v>
          </cell>
          <cell r="B1203" t="str">
            <v>Temps soufflage on</v>
          </cell>
          <cell r="C1203" t="str">
            <v>Blowing time on</v>
          </cell>
          <cell r="D1203" t="str">
            <v>Czas nadmuchiwania</v>
          </cell>
          <cell r="J1203" t="str">
            <v xml:space="preserve"> </v>
          </cell>
        </row>
        <row r="1204">
          <cell r="A1204">
            <v>1203</v>
          </cell>
          <cell r="B1204" t="str">
            <v>Retard aiguille 2</v>
          </cell>
          <cell r="C1204" t="str">
            <v>Needle 2 delay</v>
          </cell>
          <cell r="D1204" t="str">
            <v>Opóźnienie 2 iglicy</v>
          </cell>
          <cell r="J1204" t="str">
            <v xml:space="preserve"> </v>
          </cell>
        </row>
        <row r="1205">
          <cell r="A1205">
            <v>1204</v>
          </cell>
          <cell r="B1205" t="str">
            <v>Temps 1° soufflage</v>
          </cell>
          <cell r="C1205" t="str">
            <v>1st blow time</v>
          </cell>
          <cell r="D1205" t="str">
            <v>Czas pierwszego nadmuchu</v>
          </cell>
          <cell r="J1205" t="str">
            <v xml:space="preserve"> </v>
          </cell>
        </row>
        <row r="1206">
          <cell r="A1206">
            <v>1205</v>
          </cell>
          <cell r="B1206" t="str">
            <v>Temps 2° soufflage</v>
          </cell>
          <cell r="C1206" t="str">
            <v>2nd blow time</v>
          </cell>
          <cell r="D1206" t="str">
            <v>Czas drugiego naddmuchu</v>
          </cell>
          <cell r="J1206" t="str">
            <v xml:space="preserve"> </v>
          </cell>
        </row>
        <row r="1207">
          <cell r="A1207">
            <v>1206</v>
          </cell>
          <cell r="B1207" t="str">
            <v>Temps 3</v>
          </cell>
          <cell r="C1207" t="str">
            <v>Timers 3</v>
          </cell>
          <cell r="D1207" t="str">
            <v xml:space="preserve">Czasy 3 </v>
          </cell>
          <cell r="J1207" t="str">
            <v xml:space="preserve"> </v>
          </cell>
        </row>
        <row r="1208">
          <cell r="A1208">
            <v>1207</v>
          </cell>
          <cell r="B1208" t="str">
            <v>Temps soufflage off</v>
          </cell>
          <cell r="C1208" t="str">
            <v>Blowing time off</v>
          </cell>
          <cell r="D1208" t="str">
            <v>Czas rozdmuchu wył.</v>
          </cell>
          <cell r="J1208" t="str">
            <v xml:space="preserve"> </v>
          </cell>
        </row>
        <row r="1209">
          <cell r="A1209">
            <v>1208</v>
          </cell>
          <cell r="B1209" t="str">
            <v>Retard decharge rapide</v>
          </cell>
          <cell r="C1209" t="str">
            <v>Quick unload delay</v>
          </cell>
          <cell r="D1209" t="str">
            <v xml:space="preserve">Opóźnienie szybkiego rozładowania  </v>
          </cell>
          <cell r="J1209" t="str">
            <v xml:space="preserve"> </v>
          </cell>
        </row>
        <row r="1210">
          <cell r="A1210">
            <v>1209</v>
          </cell>
          <cell r="B1210" t="str">
            <v>Temps decharge rapide</v>
          </cell>
          <cell r="C1210" t="str">
            <v>Quick unload time</v>
          </cell>
          <cell r="D1210" t="str">
            <v>Czas opóźnienia szybkiego rozładowania</v>
          </cell>
          <cell r="J1210" t="str">
            <v xml:space="preserve"> </v>
          </cell>
        </row>
        <row r="1211">
          <cell r="A1211">
            <v>1210</v>
          </cell>
          <cell r="B1211" t="str">
            <v>% 1° soufflage</v>
          </cell>
          <cell r="C1211" t="str">
            <v>% 1st blow</v>
          </cell>
          <cell r="D1211" t="str">
            <v>% I - ego nadmuchu</v>
          </cell>
          <cell r="J1211" t="str">
            <v xml:space="preserve"> </v>
          </cell>
        </row>
        <row r="1212">
          <cell r="A1212">
            <v>1211</v>
          </cell>
          <cell r="B1212" t="str">
            <v>% 2° soufflage</v>
          </cell>
          <cell r="C1212" t="str">
            <v>% 2nd blow</v>
          </cell>
          <cell r="D1212" t="str">
            <v>% II- ego naddmuchu</v>
          </cell>
          <cell r="J1212" t="str">
            <v xml:space="preserve"> </v>
          </cell>
        </row>
        <row r="1213">
          <cell r="A1213">
            <v>1212</v>
          </cell>
          <cell r="B1213" t="str">
            <v>Temps 4</v>
          </cell>
          <cell r="C1213" t="str">
            <v>Timers 4</v>
          </cell>
          <cell r="D1213" t="str">
            <v>Czasy 4</v>
          </cell>
          <cell r="J1213" t="str">
            <v xml:space="preserve"> </v>
          </cell>
        </row>
        <row r="1214">
          <cell r="A1214">
            <v>1213</v>
          </cell>
          <cell r="B1214" t="str">
            <v>Retard attente 1 par 1</v>
          </cell>
          <cell r="C1214" t="str">
            <v>Waiting delay 1 by 1</v>
          </cell>
          <cell r="D1214" t="str">
            <v>Opóźnienie czekania 1 przez 1</v>
          </cell>
          <cell r="J1214" t="str">
            <v xml:space="preserve"> </v>
          </cell>
        </row>
        <row r="1215">
          <cell r="A1215">
            <v>1214</v>
          </cell>
          <cell r="B1215" t="str">
            <v>Retard attente 1 par 2</v>
          </cell>
          <cell r="C1215" t="str">
            <v>Waiting delay 1 by 2</v>
          </cell>
          <cell r="D1215" t="str">
            <v>Opóźnienie czekania 1 przez 2</v>
          </cell>
          <cell r="J1215" t="str">
            <v xml:space="preserve"> </v>
          </cell>
        </row>
        <row r="1216">
          <cell r="A1216">
            <v>1215</v>
          </cell>
          <cell r="B1216" t="str">
            <v>Retard attente 2 par 1</v>
          </cell>
          <cell r="C1216" t="str">
            <v>Waiting delay 2 by 1</v>
          </cell>
          <cell r="D1216" t="str">
            <v>Opóźnienie czekania 2 przez 1</v>
          </cell>
          <cell r="J1216" t="str">
            <v xml:space="preserve"> </v>
          </cell>
        </row>
        <row r="1217">
          <cell r="A1217">
            <v>1216</v>
          </cell>
          <cell r="B1217" t="str">
            <v>Retard attente 2 par 2</v>
          </cell>
          <cell r="C1217" t="str">
            <v>Waiting delay 2 by 2</v>
          </cell>
          <cell r="D1217" t="str">
            <v>Opóźnienie czekania 2 przez 2</v>
          </cell>
          <cell r="J1217" t="str">
            <v xml:space="preserve"> </v>
          </cell>
        </row>
        <row r="1218">
          <cell r="A1218">
            <v>1217</v>
          </cell>
          <cell r="B1218" t="str">
            <v>Ret. vit. finale 2 moule 1</v>
          </cell>
          <cell r="C1218" t="str">
            <v>Final speed delay 2 mold 1</v>
          </cell>
          <cell r="D1218" t="str">
            <v>Końcowa prędkość opóźnienia 2 forma 1</v>
          </cell>
          <cell r="J1218" t="str">
            <v xml:space="preserve"> </v>
          </cell>
        </row>
        <row r="1219">
          <cell r="A1219">
            <v>1218</v>
          </cell>
          <cell r="B1219" t="str">
            <v>Ret. vit. finale 2 moule 2</v>
          </cell>
          <cell r="C1219" t="str">
            <v>Final speed delay 2 mold 2</v>
          </cell>
          <cell r="D1219" t="str">
            <v>Końcowa prędkość opóźnienia 2 forma 2</v>
          </cell>
          <cell r="J1219" t="str">
            <v xml:space="preserve"> </v>
          </cell>
        </row>
        <row r="1220">
          <cell r="A1220">
            <v>1219</v>
          </cell>
          <cell r="I1220" t="str">
            <v xml:space="preserve"> </v>
          </cell>
          <cell r="J1220" t="str">
            <v xml:space="preserve"> </v>
          </cell>
        </row>
        <row r="1221">
          <cell r="A1221">
            <v>1220</v>
          </cell>
          <cell r="I1221" t="str">
            <v xml:space="preserve"> </v>
          </cell>
          <cell r="J1221" t="str">
            <v xml:space="preserve"> </v>
          </cell>
        </row>
        <row r="1222">
          <cell r="A1222">
            <v>1221</v>
          </cell>
          <cell r="B1222" t="str">
            <v>Temps 00-31</v>
          </cell>
          <cell r="C1222" t="str">
            <v>Timers 00-31</v>
          </cell>
          <cell r="D1222" t="str">
            <v>Czasy 00-31</v>
          </cell>
          <cell r="J1222" t="str">
            <v xml:space="preserve"> </v>
          </cell>
        </row>
        <row r="1223">
          <cell r="A1223">
            <v>1222</v>
          </cell>
          <cell r="B1223" t="str">
            <v>Ret. montée canne de souf</v>
          </cell>
          <cell r="C1223" t="str">
            <v>Blowpin up delay</v>
          </cell>
          <cell r="D1223" t="str">
            <v>Górne opóźnienie pinu dmuchającego</v>
          </cell>
          <cell r="J1223" t="str">
            <v xml:space="preserve"> </v>
          </cell>
        </row>
        <row r="1224">
          <cell r="A1224">
            <v>1223</v>
          </cell>
          <cell r="B1224" t="str">
            <v>Ret. descente canne de souf</v>
          </cell>
          <cell r="C1224" t="str">
            <v>Blowpin down delay</v>
          </cell>
          <cell r="D1224" t="str">
            <v>Dolne opóźnienie pinu dmuchającego</v>
          </cell>
          <cell r="J1224" t="str">
            <v xml:space="preserve"> </v>
          </cell>
        </row>
        <row r="1225">
          <cell r="A1225">
            <v>1224</v>
          </cell>
          <cell r="B1225" t="str">
            <v>Temps décharge air</v>
          </cell>
          <cell r="C1225" t="str">
            <v>Air exhaust time</v>
          </cell>
          <cell r="D1225" t="str">
            <v>Czas wylotu powietrza</v>
          </cell>
          <cell r="J1225" t="str">
            <v xml:space="preserve"> </v>
          </cell>
        </row>
        <row r="1226">
          <cell r="A1226">
            <v>1225</v>
          </cell>
          <cell r="B1226" t="str">
            <v>Retard couteaux 1</v>
          </cell>
          <cell r="C1226" t="str">
            <v>Blades delay 1</v>
          </cell>
          <cell r="D1226" t="str">
            <v>Opóźnienie noży 1</v>
          </cell>
          <cell r="J1226" t="str">
            <v xml:space="preserve"> </v>
          </cell>
        </row>
        <row r="1227">
          <cell r="A1227">
            <v>1226</v>
          </cell>
          <cell r="B1227" t="str">
            <v>Temps couteaux 1</v>
          </cell>
          <cell r="C1227" t="str">
            <v>Blades time 1</v>
          </cell>
          <cell r="D1227" t="str">
            <v>Noże czas 1</v>
          </cell>
          <cell r="J1227" t="str">
            <v xml:space="preserve"> </v>
          </cell>
        </row>
        <row r="1228">
          <cell r="A1228">
            <v>1227</v>
          </cell>
          <cell r="B1228" t="str">
            <v>Temps princ. soufflage</v>
          </cell>
          <cell r="C1228" t="str">
            <v>Main blowing time</v>
          </cell>
          <cell r="D1228" t="str">
            <v>Główny czas nadmuchu</v>
          </cell>
          <cell r="J1228" t="str">
            <v xml:space="preserve"> </v>
          </cell>
        </row>
        <row r="1229">
          <cell r="A1229">
            <v>1228</v>
          </cell>
          <cell r="J1229" t="str">
            <v xml:space="preserve"> </v>
          </cell>
        </row>
        <row r="1230">
          <cell r="A1230">
            <v>1229</v>
          </cell>
          <cell r="B1230" t="str">
            <v>Temps 32-63</v>
          </cell>
          <cell r="C1230" t="str">
            <v>Timers 32-63</v>
          </cell>
          <cell r="D1230" t="str">
            <v>Czasy 32- 63</v>
          </cell>
          <cell r="J1230" t="str">
            <v xml:space="preserve"> </v>
          </cell>
        </row>
        <row r="1231">
          <cell r="A1231">
            <v>1230</v>
          </cell>
          <cell r="B1231" t="str">
            <v>Temps soufflage 11*valeur (Huff1)</v>
          </cell>
          <cell r="C1231" t="str">
            <v>1st Value blow 1 time (Huff Blow 1)</v>
          </cell>
          <cell r="D1231" t="str">
            <v>Czas nadmuchiwania</v>
          </cell>
          <cell r="J1231" t="str">
            <v xml:space="preserve"> </v>
          </cell>
        </row>
        <row r="1232">
          <cell r="A1232">
            <v>1231</v>
          </cell>
          <cell r="B1232" t="str">
            <v>Début pré-soufflage avec expulsion</v>
          </cell>
          <cell r="C1232" t="str">
            <v>Start pre-blowing during takeout</v>
          </cell>
          <cell r="D1232" t="str">
            <v>Początek nadmuchu wstępnego podczas wyrzutu</v>
          </cell>
          <cell r="J1232" t="str">
            <v xml:space="preserve"> </v>
          </cell>
        </row>
        <row r="1233">
          <cell r="A1233">
            <v>1232</v>
          </cell>
          <cell r="B1233" t="str">
            <v>Retard pré-fermeture Paraison</v>
          </cell>
          <cell r="C1233" t="str">
            <v>Parison A pre-closing delay</v>
          </cell>
          <cell r="D1233" t="str">
            <v xml:space="preserve"> --&gt; polish ?</v>
          </cell>
          <cell r="J1233" t="str">
            <v xml:space="preserve"> </v>
          </cell>
        </row>
        <row r="1234">
          <cell r="A1234">
            <v>1233</v>
          </cell>
          <cell r="B1234" t="str">
            <v>Temps fermeture pince pré-soufflage</v>
          </cell>
          <cell r="C1234" t="str">
            <v>Parison A closing time</v>
          </cell>
          <cell r="D1234" t="str">
            <v xml:space="preserve"> --&gt; polish ?</v>
          </cell>
          <cell r="J1234" t="str">
            <v xml:space="preserve"> </v>
          </cell>
        </row>
        <row r="1235">
          <cell r="A1235">
            <v>1234</v>
          </cell>
          <cell r="B1235" t="str">
            <v>Retard mouvement avt extracteur</v>
          </cell>
          <cell r="C1235" t="str">
            <v>Takeout forward movement delay</v>
          </cell>
          <cell r="D1235" t="str">
            <v xml:space="preserve"> --&gt; polish ?</v>
          </cell>
          <cell r="J1235" t="str">
            <v xml:space="preserve"> </v>
          </cell>
        </row>
        <row r="1236">
          <cell r="A1236">
            <v>1235</v>
          </cell>
          <cell r="B1236" t="str">
            <v>Retard fermeture extracteur</v>
          </cell>
          <cell r="C1236" t="str">
            <v>Takeout closing delay</v>
          </cell>
          <cell r="D1236" t="str">
            <v xml:space="preserve"> --&gt; polish ?</v>
          </cell>
          <cell r="J1236" t="str">
            <v xml:space="preserve"> </v>
          </cell>
        </row>
        <row r="1237">
          <cell r="A1237">
            <v>1236</v>
          </cell>
          <cell r="B1237" t="str">
            <v>Retard ouverture extracteur</v>
          </cell>
          <cell r="C1237" t="str">
            <v>Takeout opening delay</v>
          </cell>
          <cell r="D1237" t="str">
            <v xml:space="preserve"> --&gt; polish ?</v>
          </cell>
          <cell r="J1237" t="str">
            <v xml:space="preserve"> </v>
          </cell>
        </row>
        <row r="1238">
          <cell r="A1238">
            <v>1237</v>
          </cell>
          <cell r="B1238" t="str">
            <v>Retard montée extracteur</v>
          </cell>
          <cell r="C1238" t="str">
            <v>Takeout up delay</v>
          </cell>
          <cell r="D1238" t="str">
            <v xml:space="preserve"> --&gt; polish ?</v>
          </cell>
          <cell r="J1238" t="str">
            <v xml:space="preserve"> </v>
          </cell>
        </row>
        <row r="1239">
          <cell r="A1239">
            <v>1238</v>
          </cell>
          <cell r="B1239" t="str">
            <v>Retard racleur</v>
          </cell>
          <cell r="C1239" t="str">
            <v>Scrapper 3 delay</v>
          </cell>
          <cell r="D1239" t="str">
            <v xml:space="preserve"> --&gt; polish ?</v>
          </cell>
          <cell r="J1239" t="str">
            <v xml:space="preserve"> </v>
          </cell>
        </row>
        <row r="1240">
          <cell r="A1240">
            <v>1239</v>
          </cell>
          <cell r="B1240" t="str">
            <v>Temps racleur</v>
          </cell>
          <cell r="C1240" t="str">
            <v>Scrapper time</v>
          </cell>
          <cell r="D1240" t="str">
            <v xml:space="preserve"> --&gt; polish ?</v>
          </cell>
          <cell r="J1240" t="str">
            <v xml:space="preserve"> </v>
          </cell>
        </row>
        <row r="1241">
          <cell r="A1241">
            <v>1240</v>
          </cell>
          <cell r="B1241" t="str">
            <v>Temps fermeture pince</v>
          </cell>
          <cell r="C1241" t="str">
            <v>Parison A closing time</v>
          </cell>
          <cell r="D1241" t="str">
            <v xml:space="preserve"> --&gt; polish ?</v>
          </cell>
          <cell r="J1241" t="str">
            <v xml:space="preserve"> </v>
          </cell>
        </row>
        <row r="1242">
          <cell r="A1242">
            <v>1241</v>
          </cell>
          <cell r="B1242" t="str">
            <v>Retard ouverture porte</v>
          </cell>
          <cell r="C1242" t="str">
            <v>Safety door opening delay</v>
          </cell>
          <cell r="D1242" t="str">
            <v>Opóźnienie otwarcia drzwi bezpieczeństwa</v>
          </cell>
          <cell r="J1242" t="str">
            <v xml:space="preserve"> </v>
          </cell>
        </row>
        <row r="1243">
          <cell r="A1243">
            <v>1242</v>
          </cell>
          <cell r="B1243" t="str">
            <v>Temps pré-soufflage 1</v>
          </cell>
          <cell r="C1243" t="str">
            <v>Pre blowing time 1</v>
          </cell>
          <cell r="D1243" t="str">
            <v>Rozdmuch wstępny czas 1</v>
          </cell>
          <cell r="J1243" t="str">
            <v xml:space="preserve"> </v>
          </cell>
        </row>
        <row r="1244">
          <cell r="A1244">
            <v>1243</v>
          </cell>
          <cell r="B1244" t="str">
            <v>Temps pré-soufflage 2</v>
          </cell>
          <cell r="C1244" t="str">
            <v>Pre blowing time 2</v>
          </cell>
          <cell r="D1244" t="str">
            <v>Rozdmuch wstępny Czas 2</v>
          </cell>
          <cell r="J1244" t="str">
            <v xml:space="preserve"> </v>
          </cell>
        </row>
        <row r="1245">
          <cell r="A1245">
            <v>1244</v>
          </cell>
          <cell r="B1245" t="str">
            <v>Temps 64-95</v>
          </cell>
          <cell r="C1245" t="str">
            <v>Timers 64-95</v>
          </cell>
          <cell r="D1245" t="str">
            <v>Czas 64-95</v>
          </cell>
          <cell r="J1245" t="str">
            <v xml:space="preserve"> </v>
          </cell>
        </row>
        <row r="1246">
          <cell r="A1246">
            <v>1245</v>
          </cell>
          <cell r="B1246" t="str">
            <v>Retard position filière Paraison</v>
          </cell>
          <cell r="C1246" t="str">
            <v>Die position Parison A delay</v>
          </cell>
          <cell r="D1246" t="str">
            <v xml:space="preserve"> --&gt; polish ?</v>
          </cell>
          <cell r="J1246" t="str">
            <v xml:space="preserve"> </v>
          </cell>
        </row>
        <row r="1247">
          <cell r="A1247">
            <v>1246</v>
          </cell>
          <cell r="I1247" t="str">
            <v xml:space="preserve"> </v>
          </cell>
          <cell r="J1247" t="str">
            <v xml:space="preserve"> </v>
          </cell>
        </row>
        <row r="1248">
          <cell r="A1248">
            <v>1247</v>
          </cell>
          <cell r="I1248" t="str">
            <v xml:space="preserve"> </v>
          </cell>
          <cell r="J1248" t="str">
            <v xml:space="preserve"> </v>
          </cell>
        </row>
        <row r="1249">
          <cell r="A1249">
            <v>1248</v>
          </cell>
          <cell r="B1249" t="str">
            <v>Sélecteurs 01-32</v>
          </cell>
          <cell r="C1249" t="str">
            <v>Selectors 01-32</v>
          </cell>
          <cell r="D1249" t="str">
            <v>Selektory 01-32</v>
          </cell>
          <cell r="J1249" t="str">
            <v xml:space="preserve"> </v>
          </cell>
        </row>
        <row r="1250">
          <cell r="A1250">
            <v>1249</v>
          </cell>
          <cell r="B1250" t="str">
            <v>Mouvement canne de soufflage</v>
          </cell>
          <cell r="C1250" t="str">
            <v>Blowpin shifting movement</v>
          </cell>
          <cell r="D1250" t="str">
            <v>Ruchy pinu dmuchającego</v>
          </cell>
          <cell r="J1250" t="str">
            <v xml:space="preserve"> </v>
          </cell>
        </row>
        <row r="1251">
          <cell r="A1251">
            <v>1250</v>
          </cell>
          <cell r="B1251" t="str">
            <v>Montée canne de soufflage</v>
          </cell>
          <cell r="C1251" t="str">
            <v>Blowpin up and down</v>
          </cell>
          <cell r="D1251" t="str">
            <v>Ruchy górne pinu dmuchającego</v>
          </cell>
          <cell r="J1251" t="str">
            <v xml:space="preserve"> </v>
          </cell>
        </row>
        <row r="1252">
          <cell r="A1252">
            <v>1251</v>
          </cell>
          <cell r="B1252" t="str">
            <v>Découpe moule 1</v>
          </cell>
          <cell r="C1252" t="str">
            <v>Mold cutting 1</v>
          </cell>
          <cell r="D1252" t="str">
            <v>Cięcie formy 1</v>
          </cell>
          <cell r="J1252" t="str">
            <v xml:space="preserve"> </v>
          </cell>
        </row>
        <row r="1253">
          <cell r="A1253">
            <v>1252</v>
          </cell>
          <cell r="B1253" t="str">
            <v>Racleur</v>
          </cell>
          <cell r="C1253" t="str">
            <v>Scrapper</v>
          </cell>
          <cell r="D1253" t="str">
            <v>Zgniatarka</v>
          </cell>
          <cell r="J1253" t="str">
            <v xml:space="preserve"> </v>
          </cell>
        </row>
        <row r="1254">
          <cell r="A1254">
            <v>1253</v>
          </cell>
          <cell r="B1254" t="str">
            <v>Soufflage 1</v>
          </cell>
          <cell r="C1254" t="str">
            <v>Blow 1</v>
          </cell>
          <cell r="D1254" t="str">
            <v>Nadmuch 1</v>
          </cell>
          <cell r="J1254" t="str">
            <v xml:space="preserve"> </v>
          </cell>
        </row>
        <row r="1255">
          <cell r="A1255">
            <v>1254</v>
          </cell>
          <cell r="B1255" t="str">
            <v>Pré-fermeture Paraison</v>
          </cell>
          <cell r="C1255" t="str">
            <v>Parison pre-closing</v>
          </cell>
          <cell r="D1255" t="str">
            <v xml:space="preserve"> --&gt; polish ?</v>
          </cell>
          <cell r="J1255" t="str">
            <v xml:space="preserve"> </v>
          </cell>
        </row>
        <row r="1256">
          <cell r="A1256">
            <v>1255</v>
          </cell>
          <cell r="B1256" t="str">
            <v>2ème fermeture pince pré-soufflage</v>
          </cell>
          <cell r="C1256" t="str">
            <v>2nd pre-blow stakeout closing</v>
          </cell>
          <cell r="D1256" t="str">
            <v xml:space="preserve">2 nadmuch wstępny </v>
          </cell>
          <cell r="J1256" t="str">
            <v xml:space="preserve"> </v>
          </cell>
        </row>
        <row r="1257">
          <cell r="A1257">
            <v>1256</v>
          </cell>
          <cell r="B1257" t="str">
            <v>Soufflage 2</v>
          </cell>
          <cell r="C1257" t="str">
            <v>Blow 2</v>
          </cell>
          <cell r="D1257" t="str">
            <v>Rozdmuch 2</v>
          </cell>
          <cell r="J1257" t="str">
            <v xml:space="preserve"> </v>
          </cell>
        </row>
        <row r="1258">
          <cell r="A1258">
            <v>1257</v>
          </cell>
          <cell r="B1258" t="str">
            <v>Soufflage</v>
          </cell>
          <cell r="C1258" t="str">
            <v>Blow</v>
          </cell>
          <cell r="D1258" t="str">
            <v xml:space="preserve">Rozdmuch  </v>
          </cell>
          <cell r="J1258" t="str">
            <v xml:space="preserve"> </v>
          </cell>
        </row>
        <row r="1259">
          <cell r="A1259">
            <v>1258</v>
          </cell>
          <cell r="B1259" t="str">
            <v>Sélecteurs 33-64</v>
          </cell>
          <cell r="C1259" t="str">
            <v>Selectors 33-64</v>
          </cell>
          <cell r="D1259" t="str">
            <v>Selektory 33-64</v>
          </cell>
          <cell r="J1259" t="str">
            <v xml:space="preserve"> </v>
          </cell>
        </row>
        <row r="1260">
          <cell r="A1260">
            <v>1259</v>
          </cell>
          <cell r="B1260" t="str">
            <v>Aiguille A</v>
          </cell>
          <cell r="C1260" t="str">
            <v>Needle A</v>
          </cell>
          <cell r="D1260" t="str">
            <v>Igła A</v>
          </cell>
          <cell r="J1260" t="str">
            <v xml:space="preserve"> </v>
          </cell>
        </row>
        <row r="1261">
          <cell r="A1261">
            <v>1260</v>
          </cell>
          <cell r="B1261" t="str">
            <v>Aiguille arrière début ouverture</v>
          </cell>
          <cell r="C1261" t="str">
            <v>Needle back at start mold opening</v>
          </cell>
          <cell r="D1261" t="str">
            <v>Cofnięcie igły na początku otwarcia formy</v>
          </cell>
          <cell r="J1261" t="str">
            <v xml:space="preserve"> </v>
          </cell>
        </row>
        <row r="1262">
          <cell r="A1262">
            <v>1261</v>
          </cell>
          <cell r="B1262" t="str">
            <v>Ejecteurs avec ouverture</v>
          </cell>
          <cell r="C1262" t="str">
            <v>Ejectors during mold opening</v>
          </cell>
          <cell r="D1262" t="str">
            <v>Wypychanie podczas otwierania</v>
          </cell>
          <cell r="J1262" t="str">
            <v xml:space="preserve"> </v>
          </cell>
        </row>
        <row r="1263">
          <cell r="A1263">
            <v>1262</v>
          </cell>
          <cell r="B1263" t="str">
            <v>Ejecteur (avec temps)</v>
          </cell>
          <cell r="C1263" t="str">
            <v>Ejectors (time based)</v>
          </cell>
          <cell r="D1263" t="str">
            <v>Wypychanie od czasu</v>
          </cell>
          <cell r="J1263" t="str">
            <v xml:space="preserve"> </v>
          </cell>
        </row>
        <row r="1264">
          <cell r="A1264">
            <v>1263</v>
          </cell>
          <cell r="I1264" t="str">
            <v xml:space="preserve"> </v>
          </cell>
          <cell r="J1264" t="str">
            <v xml:space="preserve"> </v>
          </cell>
        </row>
        <row r="1265">
          <cell r="A1265">
            <v>1264</v>
          </cell>
          <cell r="I1265" t="str">
            <v xml:space="preserve"> </v>
          </cell>
          <cell r="J1265" t="str">
            <v xml:space="preserve"> </v>
          </cell>
        </row>
        <row r="1266">
          <cell r="A1266">
            <v>1265</v>
          </cell>
          <cell r="B1266" t="str">
            <v>Sélecteurs 65-96</v>
          </cell>
          <cell r="C1266" t="str">
            <v>Selectors 65-96</v>
          </cell>
          <cell r="D1266" t="str">
            <v>Selektory 65-96</v>
          </cell>
          <cell r="J1266" t="str">
            <v xml:space="preserve"> </v>
          </cell>
        </row>
        <row r="1267">
          <cell r="A1267">
            <v>1266</v>
          </cell>
          <cell r="B1267" t="str">
            <v>Activation couteaux 1</v>
          </cell>
          <cell r="C1267" t="str">
            <v>Blades activation 1</v>
          </cell>
          <cell r="D1267" t="str">
            <v>Aktywacja noży 1</v>
          </cell>
          <cell r="J1267" t="str">
            <v xml:space="preserve"> </v>
          </cell>
        </row>
        <row r="1268">
          <cell r="A1268">
            <v>1267</v>
          </cell>
          <cell r="B1268" t="str">
            <v>Activation temps contrôle cycle</v>
          </cell>
          <cell r="C1268" t="str">
            <v>Cycle time control activation</v>
          </cell>
          <cell r="D1268" t="str">
            <v>Kontrola czasu cyklu</v>
          </cell>
          <cell r="J1268" t="str">
            <v xml:space="preserve"> </v>
          </cell>
        </row>
        <row r="1269">
          <cell r="A1269">
            <v>1268</v>
          </cell>
          <cell r="B1269" t="str">
            <v>Extracteur en semi auto</v>
          </cell>
          <cell r="C1269" t="str">
            <v>Takeout in semi-auto mode</v>
          </cell>
          <cell r="D1269" t="str">
            <v>Przełącznik na pół-auto</v>
          </cell>
          <cell r="J1269" t="str">
            <v xml:space="preserve"> </v>
          </cell>
        </row>
        <row r="1270">
          <cell r="A1270">
            <v>1269</v>
          </cell>
          <cell r="B1270" t="str">
            <v>Activation couteaux 2</v>
          </cell>
          <cell r="C1270" t="str">
            <v>Blades activation 2</v>
          </cell>
          <cell r="D1270" t="str">
            <v>Aktywacja noży 2</v>
          </cell>
          <cell r="J1270" t="str">
            <v xml:space="preserve"> </v>
          </cell>
        </row>
        <row r="1271">
          <cell r="A1271">
            <v>1270</v>
          </cell>
          <cell r="B1271" t="str">
            <v>Activation couteaux 3</v>
          </cell>
          <cell r="C1271" t="str">
            <v>Blades activation 3</v>
          </cell>
          <cell r="D1271" t="str">
            <v>Aktywacja noży 3</v>
          </cell>
          <cell r="J1271" t="str">
            <v xml:space="preserve"> </v>
          </cell>
        </row>
        <row r="1272">
          <cell r="A1272">
            <v>1271</v>
          </cell>
          <cell r="B1272" t="str">
            <v>Sélecteurs 97-128</v>
          </cell>
          <cell r="C1272" t="str">
            <v>Selectors 97-128</v>
          </cell>
          <cell r="D1272" t="str">
            <v>Selektory 97-128</v>
          </cell>
          <cell r="J1272" t="str">
            <v xml:space="preserve"> </v>
          </cell>
        </row>
        <row r="1273">
          <cell r="A1273">
            <v>1272</v>
          </cell>
          <cell r="B1273" t="str">
            <v>Découpe moule 2</v>
          </cell>
          <cell r="C1273" t="str">
            <v>Mold cutting 2</v>
          </cell>
          <cell r="D1273" t="str">
            <v>Cięcie formy 2</v>
          </cell>
          <cell r="J1273" t="str">
            <v xml:space="preserve"> </v>
          </cell>
        </row>
        <row r="1274">
          <cell r="A1274">
            <v>1273</v>
          </cell>
          <cell r="B1274" t="str">
            <v>Découpe moule 3</v>
          </cell>
          <cell r="C1274" t="str">
            <v>Mold cutting 3</v>
          </cell>
          <cell r="D1274" t="str">
            <v>Cięcie formy 3</v>
          </cell>
          <cell r="J1274" t="str">
            <v xml:space="preserve"> </v>
          </cell>
        </row>
        <row r="1275">
          <cell r="A1275">
            <v>1274</v>
          </cell>
          <cell r="J1275" t="str">
            <v xml:space="preserve"> </v>
          </cell>
        </row>
        <row r="1276">
          <cell r="A1276">
            <v>1275</v>
          </cell>
          <cell r="B1276" t="str">
            <v>Températures</v>
          </cell>
          <cell r="C1276" t="str">
            <v>Temperatures</v>
          </cell>
          <cell r="D1276" t="str">
            <v xml:space="preserve">Temperatury  </v>
          </cell>
          <cell r="J1276" t="str">
            <v xml:space="preserve"> </v>
          </cell>
        </row>
        <row r="1277">
          <cell r="A1277">
            <v>1276</v>
          </cell>
          <cell r="B1277" t="str">
            <v>Zone entrée</v>
          </cell>
          <cell r="C1277" t="str">
            <v>Hopper zone</v>
          </cell>
          <cell r="D1277" t="str">
            <v>Lej wsypowy</v>
          </cell>
          <cell r="J1277" t="str">
            <v xml:space="preserve"> </v>
          </cell>
        </row>
        <row r="1278">
          <cell r="A1278">
            <v>1277</v>
          </cell>
          <cell r="B1278" t="str">
            <v>Cylindre 1</v>
          </cell>
          <cell r="C1278" t="str">
            <v>Barrel zone 1</v>
          </cell>
          <cell r="D1278" t="str">
            <v>Cylinder 1</v>
          </cell>
          <cell r="J1278" t="str">
            <v xml:space="preserve"> </v>
          </cell>
        </row>
        <row r="1279">
          <cell r="A1279">
            <v>1278</v>
          </cell>
          <cell r="B1279" t="str">
            <v>Manchon</v>
          </cell>
          <cell r="C1279" t="str">
            <v>Adapter zone</v>
          </cell>
          <cell r="D1279" t="str">
            <v>Dysza wtryskowa</v>
          </cell>
          <cell r="J1279" t="str">
            <v xml:space="preserve"> </v>
          </cell>
        </row>
        <row r="1280">
          <cell r="A1280">
            <v>1279</v>
          </cell>
          <cell r="B1280" t="str">
            <v>Zone adaptateur</v>
          </cell>
          <cell r="C1280" t="str">
            <v>Head body zone</v>
          </cell>
          <cell r="D1280" t="str">
            <v>Strefa głowicy</v>
          </cell>
          <cell r="J1280" t="str">
            <v xml:space="preserve"> </v>
          </cell>
        </row>
        <row r="1281">
          <cell r="A1281">
            <v>1280</v>
          </cell>
          <cell r="B1281" t="str">
            <v>Zone bloc tête</v>
          </cell>
          <cell r="C1281" t="str">
            <v>Accumulation zone</v>
          </cell>
          <cell r="D1281" t="str">
            <v>Strefa akumulacji</v>
          </cell>
          <cell r="J1281" t="str">
            <v xml:space="preserve"> </v>
          </cell>
        </row>
        <row r="1282">
          <cell r="A1282">
            <v>1281</v>
          </cell>
          <cell r="B1282" t="str">
            <v>Zone bloc sup</v>
          </cell>
          <cell r="C1282" t="str">
            <v>Upper die zone</v>
          </cell>
          <cell r="D1282" t="str">
            <v>Górne strefa narzędzia</v>
          </cell>
          <cell r="J1282" t="str">
            <v xml:space="preserve"> </v>
          </cell>
        </row>
        <row r="1283">
          <cell r="A1283">
            <v>1282</v>
          </cell>
          <cell r="B1283" t="str">
            <v>Zone bloc inf</v>
          </cell>
          <cell r="C1283" t="str">
            <v>Lower die zone</v>
          </cell>
          <cell r="D1283" t="str">
            <v>Dolna strefa narzędzia</v>
          </cell>
          <cell r="J1283" t="str">
            <v xml:space="preserve"> </v>
          </cell>
        </row>
        <row r="1284">
          <cell r="A1284">
            <v>1283</v>
          </cell>
          <cell r="B1284" t="str">
            <v>Zone bague filière</v>
          </cell>
          <cell r="C1284" t="str">
            <v>Die ring zone</v>
          </cell>
          <cell r="D1284" t="str">
            <v>Strefa ustnika</v>
          </cell>
          <cell r="J1284" t="str">
            <v xml:space="preserve"> </v>
          </cell>
        </row>
        <row r="1285">
          <cell r="A1285">
            <v>1284</v>
          </cell>
          <cell r="B1285" t="str">
            <v>T°C huile</v>
          </cell>
          <cell r="C1285" t="str">
            <v>Oil T°C</v>
          </cell>
          <cell r="D1285" t="str">
            <v>Temperature oleju</v>
          </cell>
          <cell r="J1285" t="str">
            <v xml:space="preserve"> </v>
          </cell>
        </row>
        <row r="1286">
          <cell r="A1286">
            <v>1285</v>
          </cell>
          <cell r="B1286" t="str">
            <v>T°C matière</v>
          </cell>
          <cell r="C1286" t="str">
            <v>Melt T°C</v>
          </cell>
          <cell r="D1286" t="str">
            <v>Temperatura topnienia</v>
          </cell>
          <cell r="J1286" t="str">
            <v xml:space="preserve"> </v>
          </cell>
        </row>
        <row r="1287">
          <cell r="A1287">
            <v>1286</v>
          </cell>
          <cell r="B1287" t="str">
            <v>Blocus  tête</v>
          </cell>
          <cell r="C1287" t="str">
            <v>Head blocus</v>
          </cell>
          <cell r="D1287" t="str">
            <v>Blokada głowicy</v>
          </cell>
          <cell r="J1287" t="str">
            <v xml:space="preserve"> </v>
          </cell>
        </row>
        <row r="1288">
          <cell r="A1288">
            <v>1287</v>
          </cell>
          <cell r="B1288" t="str">
            <v>Accum.</v>
          </cell>
          <cell r="C1288" t="str">
            <v>Accum.</v>
          </cell>
          <cell r="D1288" t="str">
            <v>Akumulacja</v>
          </cell>
          <cell r="J1288" t="str">
            <v xml:space="preserve"> </v>
          </cell>
        </row>
        <row r="1289">
          <cell r="A1289">
            <v>1288</v>
          </cell>
          <cell r="B1289" t="str">
            <v>Filière</v>
          </cell>
          <cell r="C1289" t="str">
            <v>Die</v>
          </cell>
          <cell r="D1289" t="str">
            <v>Narzędzie</v>
          </cell>
          <cell r="J1289" t="str">
            <v xml:space="preserve"> </v>
          </cell>
        </row>
        <row r="1290">
          <cell r="A1290">
            <v>1289</v>
          </cell>
          <cell r="B1290" t="str">
            <v>Cylindre 2</v>
          </cell>
          <cell r="C1290" t="str">
            <v>Barrel zone 2</v>
          </cell>
          <cell r="D1290" t="str">
            <v>Cylinder 2</v>
          </cell>
          <cell r="J1290" t="str">
            <v xml:space="preserve"> </v>
          </cell>
        </row>
        <row r="1291">
          <cell r="A1291">
            <v>1290</v>
          </cell>
          <cell r="B1291" t="str">
            <v>Cylindre 3</v>
          </cell>
          <cell r="C1291" t="str">
            <v>Barrel zone 3</v>
          </cell>
          <cell r="D1291" t="str">
            <v>Cylinder 3</v>
          </cell>
          <cell r="J1291" t="str">
            <v xml:space="preserve"> </v>
          </cell>
        </row>
        <row r="1292">
          <cell r="A1292">
            <v>1291</v>
          </cell>
          <cell r="B1292" t="str">
            <v>Fermeture axe 1</v>
          </cell>
          <cell r="C1292" t="str">
            <v>Closing Axis 1</v>
          </cell>
          <cell r="D1292" t="str">
            <v>Zamykanie osi 1</v>
          </cell>
          <cell r="J1292" t="str">
            <v xml:space="preserve"> </v>
          </cell>
        </row>
        <row r="1293">
          <cell r="A1293">
            <v>1292</v>
          </cell>
          <cell r="B1293" t="str">
            <v>Pré-fermeture</v>
          </cell>
          <cell r="C1293" t="str">
            <v>Pre-closing</v>
          </cell>
          <cell r="D1293" t="str">
            <v>Zamykanie wstępne</v>
          </cell>
          <cell r="J1293" t="str">
            <v xml:space="preserve"> </v>
          </cell>
        </row>
        <row r="1294">
          <cell r="A1294">
            <v>1293</v>
          </cell>
          <cell r="B1294" t="str">
            <v>Stop fermeture</v>
          </cell>
          <cell r="C1294" t="str">
            <v>Stop closing</v>
          </cell>
          <cell r="D1294" t="str">
            <v>Stop zamykanie</v>
          </cell>
          <cell r="J1294" t="str">
            <v xml:space="preserve"> </v>
          </cell>
        </row>
        <row r="1295">
          <cell r="A1295">
            <v>1294</v>
          </cell>
          <cell r="B1295" t="str">
            <v>Cote moule fermé</v>
          </cell>
          <cell r="C1295" t="str">
            <v>Mold fully closed</v>
          </cell>
          <cell r="D1295" t="str">
            <v>Forma zamknięta</v>
          </cell>
          <cell r="J1295" t="str">
            <v xml:space="preserve"> </v>
          </cell>
        </row>
        <row r="1296">
          <cell r="A1296">
            <v>1295</v>
          </cell>
          <cell r="B1296" t="str">
            <v>Pré-ouverture</v>
          </cell>
          <cell r="C1296" t="str">
            <v>Pre-opening</v>
          </cell>
          <cell r="D1296" t="str">
            <v>Zamykanie wstępne</v>
          </cell>
          <cell r="J1296" t="str">
            <v xml:space="preserve"> </v>
          </cell>
        </row>
        <row r="1297">
          <cell r="A1297">
            <v>1296</v>
          </cell>
          <cell r="B1297" t="str">
            <v>Cylindre 4</v>
          </cell>
          <cell r="C1297" t="str">
            <v>Barrek zone 4</v>
          </cell>
          <cell r="D1297" t="str">
            <v>Cylinder 4</v>
          </cell>
          <cell r="J1297" t="str">
            <v xml:space="preserve"> </v>
          </cell>
        </row>
        <row r="1298">
          <cell r="A1298">
            <v>1297</v>
          </cell>
          <cell r="B1298" t="str">
            <v>Ouverture axe 1</v>
          </cell>
          <cell r="C1298" t="str">
            <v>Opening Axis 1</v>
          </cell>
          <cell r="D1298" t="str">
            <v>Otwarcie osi 1</v>
          </cell>
          <cell r="J1298" t="str">
            <v xml:space="preserve"> </v>
          </cell>
        </row>
        <row r="1299">
          <cell r="A1299">
            <v>1298</v>
          </cell>
          <cell r="I1299" t="str">
            <v xml:space="preserve"> </v>
          </cell>
          <cell r="J1299" t="str">
            <v xml:space="preserve"> </v>
          </cell>
        </row>
        <row r="1300">
          <cell r="A1300">
            <v>1299</v>
          </cell>
          <cell r="I1300" t="str">
            <v xml:space="preserve"> </v>
          </cell>
          <cell r="J1300" t="str">
            <v xml:space="preserve"> </v>
          </cell>
        </row>
        <row r="1301">
          <cell r="A1301">
            <v>1300</v>
          </cell>
          <cell r="B1301" t="str">
            <v>Extracteur</v>
          </cell>
          <cell r="C1301" t="str">
            <v>Extruder</v>
          </cell>
          <cell r="D1301" t="str">
            <v>Ekstraktor</v>
          </cell>
          <cell r="J1301" t="str">
            <v xml:space="preserve"> </v>
          </cell>
        </row>
        <row r="1302">
          <cell r="A1302">
            <v>1301</v>
          </cell>
          <cell r="B1302" t="str">
            <v>Avant</v>
          </cell>
          <cell r="C1302" t="str">
            <v>Front</v>
          </cell>
          <cell r="D1302" t="str">
            <v>Przód</v>
          </cell>
          <cell r="I1302" t="str">
            <v>Vpredu</v>
          </cell>
          <cell r="J1302" t="str">
            <v xml:space="preserve"> </v>
          </cell>
        </row>
        <row r="1303">
          <cell r="A1303">
            <v>1302</v>
          </cell>
          <cell r="B1303" t="str">
            <v>Arrière</v>
          </cell>
          <cell r="C1303" t="str">
            <v>Rear</v>
          </cell>
          <cell r="D1303" t="str">
            <v xml:space="preserve">Tył </v>
          </cell>
          <cell r="I1303" t="str">
            <v>vzadu</v>
          </cell>
          <cell r="J1303" t="str">
            <v xml:space="preserve"> </v>
          </cell>
        </row>
        <row r="1304">
          <cell r="A1304">
            <v>1303</v>
          </cell>
          <cell r="J1304" t="str">
            <v xml:space="preserve"> </v>
          </cell>
        </row>
        <row r="1305">
          <cell r="A1305">
            <v>1304</v>
          </cell>
          <cell r="J1305" t="str">
            <v xml:space="preserve"> </v>
          </cell>
        </row>
        <row r="1306">
          <cell r="A1306">
            <v>1305</v>
          </cell>
          <cell r="B1306" t="str">
            <v>Extrusion</v>
          </cell>
          <cell r="C1306" t="str">
            <v>Extrusion</v>
          </cell>
          <cell r="D1306" t="str">
            <v>Wtłaczanie</v>
          </cell>
          <cell r="J1306" t="str">
            <v xml:space="preserve"> </v>
          </cell>
        </row>
        <row r="1307">
          <cell r="A1307">
            <v>1306</v>
          </cell>
          <cell r="B1307" t="str">
            <v>Diff. consentie</v>
          </cell>
          <cell r="C1307" t="str">
            <v>Diff accepted</v>
          </cell>
          <cell r="D1307" t="str">
            <v>Różnica zaakceptowana</v>
          </cell>
          <cell r="J1307" t="str">
            <v xml:space="preserve"> </v>
          </cell>
        </row>
        <row r="1308">
          <cell r="A1308">
            <v>1307</v>
          </cell>
          <cell r="B1308" t="str">
            <v>Retard extrusion</v>
          </cell>
          <cell r="C1308" t="str">
            <v>Extrusion delay</v>
          </cell>
          <cell r="D1308" t="str">
            <v>Opóźnienie wtłaczania</v>
          </cell>
          <cell r="J1308" t="str">
            <v xml:space="preserve"> </v>
          </cell>
        </row>
        <row r="1309">
          <cell r="A1309">
            <v>1308</v>
          </cell>
          <cell r="B1309" t="str">
            <v>Pré charge</v>
          </cell>
          <cell r="C1309" t="str">
            <v>Pre-load</v>
          </cell>
          <cell r="D1309" t="str">
            <v>Ładowanie wstępne</v>
          </cell>
          <cell r="J1309" t="str">
            <v xml:space="preserve"> </v>
          </cell>
        </row>
        <row r="1310">
          <cell r="A1310">
            <v>1309</v>
          </cell>
          <cell r="B1310" t="str">
            <v>Point</v>
          </cell>
          <cell r="C1310" t="str">
            <v>Point</v>
          </cell>
          <cell r="D1310" t="str">
            <v xml:space="preserve">Punkt </v>
          </cell>
          <cell r="J1310" t="str">
            <v xml:space="preserve"> </v>
          </cell>
        </row>
        <row r="1311">
          <cell r="A1311">
            <v>1310</v>
          </cell>
          <cell r="B1311" t="str">
            <v>Point de 0 à 99</v>
          </cell>
          <cell r="C1311" t="str">
            <v>Point 0 to 99</v>
          </cell>
          <cell r="D1311" t="str">
            <v>Punkt od 0 do 99</v>
          </cell>
          <cell r="J1311" t="str">
            <v xml:space="preserve"> </v>
          </cell>
        </row>
        <row r="1312">
          <cell r="A1312">
            <v>1311</v>
          </cell>
          <cell r="I1312" t="str">
            <v xml:space="preserve"> </v>
          </cell>
          <cell r="J1312" t="str">
            <v xml:space="preserve"> </v>
          </cell>
        </row>
        <row r="1313">
          <cell r="A1313">
            <v>1312</v>
          </cell>
          <cell r="B1313" t="str">
            <v>Moteur extrusion</v>
          </cell>
          <cell r="C1313" t="str">
            <v>Extruder motor</v>
          </cell>
          <cell r="D1313" t="str">
            <v>Silnik wtłaczania</v>
          </cell>
          <cell r="J1313" t="str">
            <v xml:space="preserve"> </v>
          </cell>
        </row>
        <row r="1314">
          <cell r="A1314">
            <v>1313</v>
          </cell>
          <cell r="B1314" t="str">
            <v>Acc. ramp dec. ± 0.2</v>
          </cell>
          <cell r="C1314" t="str">
            <v>Acceler. decel ramp ± 0.2</v>
          </cell>
          <cell r="D1314" t="str">
            <v xml:space="preserve"> --&gt; polish ?</v>
          </cell>
          <cell r="J1314" t="str">
            <v xml:space="preserve"> </v>
          </cell>
        </row>
        <row r="1315">
          <cell r="A1315">
            <v>1314</v>
          </cell>
          <cell r="B1315" t="str">
            <v>Automatique RPM</v>
          </cell>
          <cell r="C1315" t="str">
            <v>Auto RPM</v>
          </cell>
          <cell r="D1315" t="str">
            <v>Auto RPM</v>
          </cell>
          <cell r="J1315" t="str">
            <v xml:space="preserve"> </v>
          </cell>
        </row>
        <row r="1316">
          <cell r="A1316">
            <v>1315</v>
          </cell>
          <cell r="J1316" t="str">
            <v xml:space="preserve"> </v>
          </cell>
        </row>
        <row r="1317">
          <cell r="A1317">
            <v>1316</v>
          </cell>
          <cell r="J1317" t="str">
            <v xml:space="preserve"> </v>
          </cell>
        </row>
        <row r="1318">
          <cell r="A1318">
            <v>1317</v>
          </cell>
          <cell r="B1318" t="str">
            <v>Zone alimentation</v>
          </cell>
          <cell r="C1318" t="str">
            <v>Feeding aera</v>
          </cell>
          <cell r="D1318" t="str">
            <v>Strefa zasilania</v>
          </cell>
          <cell r="J1318" t="str">
            <v xml:space="preserve"> </v>
          </cell>
        </row>
        <row r="1319">
          <cell r="A1319">
            <v>1318</v>
          </cell>
          <cell r="B1319" t="str">
            <v>Fourreau</v>
          </cell>
          <cell r="C1319" t="str">
            <v>Barrel</v>
          </cell>
          <cell r="D1319" t="str">
            <v>Cylinder</v>
          </cell>
          <cell r="J1319" t="str">
            <v xml:space="preserve"> </v>
          </cell>
        </row>
        <row r="1320">
          <cell r="A1320">
            <v>1319</v>
          </cell>
          <cell r="B1320" t="str">
            <v>Bloque tête</v>
          </cell>
          <cell r="C1320" t="str">
            <v>Head body</v>
          </cell>
          <cell r="D1320" t="str">
            <v>Głowica</v>
          </cell>
          <cell r="J1320" t="str">
            <v xml:space="preserve"> </v>
          </cell>
        </row>
        <row r="1321">
          <cell r="A1321">
            <v>1320</v>
          </cell>
          <cell r="B1321" t="str">
            <v>Accumulation sup</v>
          </cell>
          <cell r="C1321" t="str">
            <v>Upper accumulation</v>
          </cell>
          <cell r="D1321" t="str">
            <v>Akumulacja górna</v>
          </cell>
          <cell r="J1321" t="str">
            <v xml:space="preserve"> </v>
          </cell>
        </row>
        <row r="1322">
          <cell r="A1322">
            <v>1321</v>
          </cell>
          <cell r="B1322" t="str">
            <v>Accumulation inf</v>
          </cell>
          <cell r="C1322" t="str">
            <v>Lower accumulation</v>
          </cell>
          <cell r="D1322" t="str">
            <v>Akumulacja dolna</v>
          </cell>
          <cell r="J1322" t="str">
            <v xml:space="preserve"> </v>
          </cell>
        </row>
        <row r="1323">
          <cell r="A1323">
            <v>1322</v>
          </cell>
          <cell r="J1323" t="str">
            <v xml:space="preserve"> </v>
          </cell>
        </row>
        <row r="1324">
          <cell r="A1324">
            <v>1323</v>
          </cell>
          <cell r="B1324" t="str">
            <v>Soufflage proportionnel</v>
          </cell>
          <cell r="C1324" t="str">
            <v>Proportionnal blowing</v>
          </cell>
          <cell r="D1324" t="str">
            <v>Stopniowe dmuchanie</v>
          </cell>
          <cell r="J1324" t="str">
            <v xml:space="preserve"> </v>
          </cell>
        </row>
        <row r="1325">
          <cell r="A1325">
            <v>1324</v>
          </cell>
          <cell r="B1325" t="str">
            <v>Fin avant</v>
          </cell>
          <cell r="C1325" t="str">
            <v>End forward</v>
          </cell>
          <cell r="D1325" t="str">
            <v>Koniec wyprzedzenia</v>
          </cell>
          <cell r="J1325" t="str">
            <v xml:space="preserve"> </v>
          </cell>
        </row>
        <row r="1326">
          <cell r="A1326">
            <v>1325</v>
          </cell>
          <cell r="B1326" t="str">
            <v>Fin arrière</v>
          </cell>
          <cell r="C1326" t="str">
            <v>End backward</v>
          </cell>
          <cell r="D1326" t="str">
            <v>Koniec opóźnienia</v>
          </cell>
          <cell r="J1326" t="str">
            <v xml:space="preserve"> </v>
          </cell>
        </row>
        <row r="1327">
          <cell r="A1327">
            <v>1326</v>
          </cell>
          <cell r="B1327" t="str">
            <v>Départ cycle</v>
          </cell>
          <cell r="C1327" t="str">
            <v>Start cycle</v>
          </cell>
          <cell r="D1327" t="str">
            <v>Początek cyklu</v>
          </cell>
          <cell r="J1327" t="str">
            <v xml:space="preserve"> </v>
          </cell>
        </row>
        <row r="1328">
          <cell r="A1328">
            <v>1327</v>
          </cell>
          <cell r="B1328" t="str">
            <v>Expulsion</v>
          </cell>
          <cell r="C1328" t="str">
            <v>Push-out</v>
          </cell>
          <cell r="D1328" t="str">
            <v>Wyrzut</v>
          </cell>
          <cell r="J1328" t="str">
            <v xml:space="preserve"> </v>
          </cell>
        </row>
        <row r="1329">
          <cell r="A1329">
            <v>1328</v>
          </cell>
          <cell r="B1329" t="str">
            <v>Pré-soufflage</v>
          </cell>
          <cell r="C1329" t="str">
            <v>Pre-blowing</v>
          </cell>
          <cell r="D1329" t="str">
            <v>Nadmuch wstępny</v>
          </cell>
          <cell r="J1329" t="str">
            <v xml:space="preserve"> </v>
          </cell>
        </row>
        <row r="1330">
          <cell r="A1330">
            <v>1329</v>
          </cell>
          <cell r="J1330" t="str">
            <v xml:space="preserve"> </v>
          </cell>
        </row>
        <row r="1331">
          <cell r="A1331">
            <v>1330</v>
          </cell>
          <cell r="B1331" t="str">
            <v>Profil Paraison</v>
          </cell>
          <cell r="C1331" t="str">
            <v>Parison profile</v>
          </cell>
          <cell r="D1331" t="str">
            <v xml:space="preserve"> --&gt; polish ?</v>
          </cell>
          <cell r="J1331" t="str">
            <v xml:space="preserve"> </v>
          </cell>
        </row>
        <row r="1332">
          <cell r="A1332">
            <v>1331</v>
          </cell>
          <cell r="B1332" t="str">
            <v>Paraison</v>
          </cell>
          <cell r="C1332" t="str">
            <v>Parison</v>
          </cell>
          <cell r="D1332" t="str">
            <v xml:space="preserve"> --&gt; polish ?</v>
          </cell>
          <cell r="J1332" t="str">
            <v xml:space="preserve"> </v>
          </cell>
        </row>
        <row r="1333">
          <cell r="A1333">
            <v>1332</v>
          </cell>
          <cell r="B1333" t="str">
            <v>Course accessoire</v>
          </cell>
          <cell r="C1333" t="str">
            <v>Accessory stroke</v>
          </cell>
          <cell r="D1333" t="str">
            <v xml:space="preserve"> --&gt; polish ?</v>
          </cell>
          <cell r="J1333" t="str">
            <v xml:space="preserve"> </v>
          </cell>
        </row>
        <row r="1334">
          <cell r="A1334">
            <v>1333</v>
          </cell>
          <cell r="B1334" t="str">
            <v>Poids de base</v>
          </cell>
          <cell r="C1334" t="str">
            <v>Base weight</v>
          </cell>
          <cell r="D1334" t="str">
            <v>Waga podstawowa</v>
          </cell>
          <cell r="J1334" t="str">
            <v xml:space="preserve"> </v>
          </cell>
        </row>
        <row r="1335">
          <cell r="A1335">
            <v>1334</v>
          </cell>
          <cell r="J1335" t="str">
            <v xml:space="preserve"> </v>
          </cell>
        </row>
        <row r="1336">
          <cell r="A1336">
            <v>1335</v>
          </cell>
          <cell r="B1336" t="str">
            <v>Pos. d'attente 1</v>
          </cell>
          <cell r="C1336" t="str">
            <v>Waiting position 1</v>
          </cell>
          <cell r="D1336" t="str">
            <v>Pozycja czekania 1</v>
          </cell>
          <cell r="J1336" t="str">
            <v xml:space="preserve"> </v>
          </cell>
        </row>
        <row r="1337">
          <cell r="A1337">
            <v>1336</v>
          </cell>
          <cell r="B1337" t="str">
            <v>Retard attente 1</v>
          </cell>
          <cell r="C1337" t="str">
            <v>Die wait delay 1</v>
          </cell>
          <cell r="D1337" t="str">
            <v>Opóźnienie oczekiwania 1</v>
          </cell>
          <cell r="J1337" t="str">
            <v xml:space="preserve"> </v>
          </cell>
        </row>
        <row r="1338">
          <cell r="A1338">
            <v>1337</v>
          </cell>
          <cell r="B1338" t="str">
            <v>Part linéaire</v>
          </cell>
          <cell r="C1338" t="str">
            <v>Linear part</v>
          </cell>
          <cell r="D1338" t="str">
            <v>Część liniowa</v>
          </cell>
          <cell r="J1338" t="str">
            <v xml:space="preserve"> </v>
          </cell>
        </row>
        <row r="1339">
          <cell r="A1339">
            <v>1338</v>
          </cell>
          <cell r="B1339" t="str">
            <v>Retard position filière</v>
          </cell>
          <cell r="C1339" t="str">
            <v>Die position delay</v>
          </cell>
          <cell r="D1339" t="str">
            <v>Pozycja narzędzia opóźniona</v>
          </cell>
          <cell r="J1339" t="str">
            <v xml:space="preserve"> </v>
          </cell>
        </row>
        <row r="1340">
          <cell r="A1340">
            <v>1339</v>
          </cell>
          <cell r="B1340" t="str">
            <v>Pos. d'attente 2</v>
          </cell>
          <cell r="C1340" t="str">
            <v>Waiting position 2</v>
          </cell>
          <cell r="D1340" t="str">
            <v xml:space="preserve">Pozycja czekania 2 </v>
          </cell>
          <cell r="J1340" t="str">
            <v xml:space="preserve"> </v>
          </cell>
        </row>
        <row r="1341">
          <cell r="A1341">
            <v>1340</v>
          </cell>
          <cell r="B1341" t="str">
            <v>Habilitation couteaux</v>
          </cell>
          <cell r="C1341" t="str">
            <v>Blades Activation</v>
          </cell>
          <cell r="D1341" t="str">
            <v>Aktywacja noży</v>
          </cell>
          <cell r="J1341" t="str">
            <v xml:space="preserve"> </v>
          </cell>
        </row>
        <row r="1342">
          <cell r="A1342">
            <v>1341</v>
          </cell>
          <cell r="B1342" t="str">
            <v>Couteaux</v>
          </cell>
          <cell r="C1342" t="str">
            <v>Blades</v>
          </cell>
          <cell r="D1342" t="str">
            <v>Noże</v>
          </cell>
          <cell r="J1342" t="str">
            <v xml:space="preserve"> </v>
          </cell>
        </row>
        <row r="1343">
          <cell r="A1343">
            <v>1342</v>
          </cell>
          <cell r="B1343" t="str">
            <v>Retard attente 2</v>
          </cell>
          <cell r="C1343" t="str">
            <v>Die wait delay 2</v>
          </cell>
          <cell r="D1343" t="str">
            <v>Opóźnienie czekania 2</v>
          </cell>
          <cell r="J1343" t="str">
            <v xml:space="preserve"> </v>
          </cell>
        </row>
        <row r="1344">
          <cell r="A1344">
            <v>1343</v>
          </cell>
          <cell r="B1344" t="str">
            <v>Etalement temps 1</v>
          </cell>
          <cell r="C1344" t="str">
            <v>Times spreading</v>
          </cell>
          <cell r="D1344" t="str">
            <v>Podział czasu</v>
          </cell>
          <cell r="J1344" t="str">
            <v xml:space="preserve"> </v>
          </cell>
        </row>
        <row r="1345">
          <cell r="A1345">
            <v>1344</v>
          </cell>
          <cell r="B1345" t="str">
            <v>Temps alarme graissage</v>
          </cell>
          <cell r="C1345" t="str">
            <v>Greasing time alert</v>
          </cell>
          <cell r="D1345" t="str">
            <v>Czas smarowania</v>
          </cell>
          <cell r="J1345" t="str">
            <v xml:space="preserve"> </v>
          </cell>
        </row>
        <row r="1346">
          <cell r="A1346">
            <v>1345</v>
          </cell>
          <cell r="B1346" t="str">
            <v>Alarme presse graissage</v>
          </cell>
          <cell r="C1346" t="str">
            <v>Press greasing alert</v>
          </cell>
          <cell r="D1346" t="str">
            <v>Alarm smarowanie maszyny</v>
          </cell>
          <cell r="J1346" t="str">
            <v xml:space="preserve"> </v>
          </cell>
        </row>
        <row r="1347">
          <cell r="A1347">
            <v>1346</v>
          </cell>
          <cell r="B1347" t="str">
            <v>Alarme canne bloquée</v>
          </cell>
          <cell r="C1347" t="str">
            <v>Blocked blowpin alert</v>
          </cell>
          <cell r="D1347" t="str">
            <v>Uwaga zablokowany pin dmuchający</v>
          </cell>
          <cell r="J1347" t="str">
            <v xml:space="preserve"> </v>
          </cell>
        </row>
        <row r="1348">
          <cell r="A1348">
            <v>1347</v>
          </cell>
          <cell r="B1348" t="str">
            <v>Alarme basse pression air</v>
          </cell>
          <cell r="C1348" t="str">
            <v>Low air pressure alert</v>
          </cell>
          <cell r="D1348" t="str">
            <v>Alarm niskie ciśnienie powietrza</v>
          </cell>
          <cell r="J1348" t="str">
            <v xml:space="preserve"> </v>
          </cell>
        </row>
        <row r="1349">
          <cell r="A1349">
            <v>1348</v>
          </cell>
          <cell r="B1349" t="str">
            <v>Couteaux 1</v>
          </cell>
          <cell r="C1349" t="str">
            <v>Blades 1</v>
          </cell>
          <cell r="D1349" t="str">
            <v>Noże 1</v>
          </cell>
          <cell r="J1349" t="str">
            <v xml:space="preserve"> </v>
          </cell>
        </row>
        <row r="1350">
          <cell r="A1350">
            <v>1349</v>
          </cell>
          <cell r="B1350" t="str">
            <v>Couteaux 2</v>
          </cell>
          <cell r="C1350" t="str">
            <v>Blades 2</v>
          </cell>
          <cell r="D1350" t="str">
            <v>Noże 2</v>
          </cell>
          <cell r="J1350" t="str">
            <v xml:space="preserve"> </v>
          </cell>
        </row>
        <row r="1351">
          <cell r="A1351">
            <v>1350</v>
          </cell>
          <cell r="B1351" t="str">
            <v>Couteaux 3</v>
          </cell>
          <cell r="C1351" t="str">
            <v>Blades 3</v>
          </cell>
          <cell r="D1351" t="str">
            <v>Noże 3</v>
          </cell>
          <cell r="J1351" t="str">
            <v xml:space="preserve"> </v>
          </cell>
        </row>
        <row r="1352">
          <cell r="A1352">
            <v>1351</v>
          </cell>
          <cell r="B1352" t="str">
            <v>Huile</v>
          </cell>
          <cell r="C1352" t="str">
            <v>Oil</v>
          </cell>
          <cell r="D1352" t="str">
            <v>Olej</v>
          </cell>
          <cell r="J1352" t="str">
            <v xml:space="preserve"> </v>
          </cell>
        </row>
        <row r="1353">
          <cell r="A1353">
            <v>1352</v>
          </cell>
          <cell r="B1353" t="str">
            <v>Alimentation</v>
          </cell>
          <cell r="C1353" t="str">
            <v>Feeding</v>
          </cell>
          <cell r="D1353" t="str">
            <v>Zasilanie</v>
          </cell>
          <cell r="J1353" t="str">
            <v xml:space="preserve"> </v>
          </cell>
        </row>
        <row r="1354">
          <cell r="A1354">
            <v>1353</v>
          </cell>
          <cell r="J1354" t="str">
            <v xml:space="preserve"> </v>
          </cell>
        </row>
        <row r="1355">
          <cell r="A1355">
            <v>1354</v>
          </cell>
          <cell r="B1355" t="str">
            <v>Mouvement Moule 1</v>
          </cell>
          <cell r="C1355" t="str">
            <v>Mold 1 movement</v>
          </cell>
          <cell r="D1355" t="str">
            <v>Ruch formy 1</v>
          </cell>
          <cell r="J1355" t="str">
            <v xml:space="preserve"> </v>
          </cell>
        </row>
        <row r="1356">
          <cell r="A1356">
            <v>1355</v>
          </cell>
          <cell r="B1356" t="str">
            <v>Début soufflage</v>
          </cell>
          <cell r="C1356" t="str">
            <v>Blow starting</v>
          </cell>
          <cell r="D1356" t="str">
            <v>Początek dmuchania</v>
          </cell>
          <cell r="J1356" t="str">
            <v xml:space="preserve"> </v>
          </cell>
        </row>
        <row r="1357">
          <cell r="A1357">
            <v>1356</v>
          </cell>
          <cell r="B1357" t="str">
            <v>Capteur de position 2</v>
          </cell>
          <cell r="C1357" t="str">
            <v>Path marker 2</v>
          </cell>
          <cell r="D1357" t="str">
            <v>Sensor pozycji 2</v>
          </cell>
          <cell r="J1357" t="str">
            <v xml:space="preserve"> </v>
          </cell>
        </row>
        <row r="1358">
          <cell r="A1358">
            <v>1357</v>
          </cell>
          <cell r="B1358" t="str">
            <v>Pause fermeture</v>
          </cell>
          <cell r="C1358" t="str">
            <v>Pause closing</v>
          </cell>
          <cell r="D1358" t="str">
            <v>Pauza Zamknięcie</v>
          </cell>
          <cell r="J1358" t="str">
            <v xml:space="preserve"> </v>
          </cell>
        </row>
        <row r="1359">
          <cell r="A1359">
            <v>1358</v>
          </cell>
          <cell r="B1359" t="str">
            <v>Moule fermé</v>
          </cell>
          <cell r="C1359" t="str">
            <v>Mold closed</v>
          </cell>
          <cell r="D1359" t="str">
            <v>Forma zamknięta</v>
          </cell>
          <cell r="J1359" t="str">
            <v xml:space="preserve"> </v>
          </cell>
        </row>
        <row r="1360">
          <cell r="A1360">
            <v>1359</v>
          </cell>
          <cell r="B1360" t="str">
            <v>Début pré-soufflage</v>
          </cell>
          <cell r="C1360" t="str">
            <v>Start pre-blow</v>
          </cell>
          <cell r="D1360" t="str">
            <v>Początek nadmuchu wstępnego</v>
          </cell>
          <cell r="J1360" t="str">
            <v xml:space="preserve"> </v>
          </cell>
        </row>
        <row r="1361">
          <cell r="A1361">
            <v>1360</v>
          </cell>
          <cell r="B1361" t="str">
            <v>Début tonnage</v>
          </cell>
          <cell r="C1361" t="str">
            <v>Start tonnage develope</v>
          </cell>
          <cell r="D1361" t="str">
            <v>Początek tonażu</v>
          </cell>
          <cell r="J1361" t="str">
            <v xml:space="preserve"> </v>
          </cell>
        </row>
        <row r="1362">
          <cell r="A1362">
            <v>1361</v>
          </cell>
          <cell r="B1362" t="str">
            <v>Décalquage/étireur</v>
          </cell>
          <cell r="C1362" t="str">
            <v>Neck calibration-stretchers</v>
          </cell>
          <cell r="D1362" t="str">
            <v xml:space="preserve"> --&gt; polish ?</v>
          </cell>
          <cell r="J1362" t="str">
            <v xml:space="preserve"> </v>
          </cell>
        </row>
        <row r="1363">
          <cell r="A1363">
            <v>1362</v>
          </cell>
          <cell r="J1363" t="str">
            <v xml:space="preserve"> </v>
          </cell>
        </row>
        <row r="1364">
          <cell r="A1364">
            <v>1363</v>
          </cell>
          <cell r="B1364" t="str">
            <v>Pause ouverture</v>
          </cell>
          <cell r="C1364" t="str">
            <v>Pause opening</v>
          </cell>
          <cell r="D1364" t="str">
            <v>Pauza otwarcie</v>
          </cell>
          <cell r="J1364" t="str">
            <v xml:space="preserve"> </v>
          </cell>
        </row>
        <row r="1365">
          <cell r="A1365">
            <v>1364</v>
          </cell>
          <cell r="B1365" t="str">
            <v>Moule ouvert</v>
          </cell>
          <cell r="C1365" t="str">
            <v>Mold fully opened</v>
          </cell>
          <cell r="D1365" t="str">
            <v>Forma otwarta</v>
          </cell>
          <cell r="J1365" t="str">
            <v xml:space="preserve"> </v>
          </cell>
        </row>
        <row r="1366">
          <cell r="A1366">
            <v>1365</v>
          </cell>
          <cell r="B1366" t="str">
            <v>Début extracteur mouv. Arrière</v>
          </cell>
          <cell r="C1366" t="str">
            <v>Start takeout backward</v>
          </cell>
          <cell r="D1366" t="str">
            <v xml:space="preserve"> --&gt; polish ?</v>
          </cell>
          <cell r="J1366" t="str">
            <v xml:space="preserve"> </v>
          </cell>
        </row>
        <row r="1367">
          <cell r="A1367">
            <v>1366</v>
          </cell>
          <cell r="B1367" t="str">
            <v>Ejection</v>
          </cell>
          <cell r="C1367" t="str">
            <v>Ejection</v>
          </cell>
          <cell r="D1367" t="str">
            <v xml:space="preserve">Wyrzut </v>
          </cell>
          <cell r="J1367" t="str">
            <v xml:space="preserve"> </v>
          </cell>
        </row>
        <row r="1368">
          <cell r="A1368">
            <v>1367</v>
          </cell>
          <cell r="B1368" t="str">
            <v>Côté moule fermé</v>
          </cell>
          <cell r="C1368" t="str">
            <v>Side mold closed</v>
          </cell>
          <cell r="D1368" t="str">
            <v>Strona formy zamkniętej</v>
          </cell>
          <cell r="J1368" t="str">
            <v xml:space="preserve"> </v>
          </cell>
        </row>
        <row r="1369">
          <cell r="A1369">
            <v>1368</v>
          </cell>
          <cell r="B1369" t="str">
            <v>Capteur de position 3</v>
          </cell>
          <cell r="C1369" t="str">
            <v>Path marker 3</v>
          </cell>
          <cell r="D1369" t="str">
            <v>Sensor pozycji 3</v>
          </cell>
          <cell r="J1369" t="str">
            <v xml:space="preserve"> </v>
          </cell>
        </row>
        <row r="1370">
          <cell r="A1370">
            <v>1369</v>
          </cell>
          <cell r="J1370" t="str">
            <v xml:space="preserve"> </v>
          </cell>
        </row>
        <row r="1371">
          <cell r="A1371">
            <v>1370</v>
          </cell>
          <cell r="B1371" t="str">
            <v>Canne de soufflage</v>
          </cell>
          <cell r="C1371" t="str">
            <v>Blowpin</v>
          </cell>
          <cell r="D1371" t="str">
            <v>Pin dmuchający</v>
          </cell>
          <cell r="J1371" t="str">
            <v xml:space="preserve"> </v>
          </cell>
        </row>
        <row r="1372">
          <cell r="A1372">
            <v>1371</v>
          </cell>
          <cell r="B1372" t="str">
            <v>Mouvements</v>
          </cell>
          <cell r="C1372" t="str">
            <v>Shifting movements</v>
          </cell>
          <cell r="D1372" t="str">
            <v>Ruchy</v>
          </cell>
          <cell r="J1372" t="str">
            <v xml:space="preserve"> </v>
          </cell>
        </row>
        <row r="1373">
          <cell r="A1373">
            <v>1372</v>
          </cell>
          <cell r="B1373" t="str">
            <v>Retard montée</v>
          </cell>
          <cell r="C1373" t="str">
            <v>Up delay</v>
          </cell>
          <cell r="D1373" t="str">
            <v>Opóźnienie górnej pozycji</v>
          </cell>
          <cell r="J1373" t="str">
            <v xml:space="preserve"> </v>
          </cell>
        </row>
        <row r="1374">
          <cell r="A1374">
            <v>1373</v>
          </cell>
          <cell r="B1374" t="str">
            <v>Retard descente</v>
          </cell>
          <cell r="C1374" t="str">
            <v>Down delay</v>
          </cell>
          <cell r="D1374" t="str">
            <v>Opóźnienie dolnej pozycji</v>
          </cell>
          <cell r="J1374" t="str">
            <v xml:space="preserve"> </v>
          </cell>
        </row>
        <row r="1375">
          <cell r="A1375">
            <v>1374</v>
          </cell>
          <cell r="J1375" t="str">
            <v xml:space="preserve"> </v>
          </cell>
        </row>
        <row r="1376">
          <cell r="A1376">
            <v>1375</v>
          </cell>
          <cell r="B1376" t="str">
            <v>Valeur pré-soufflage</v>
          </cell>
          <cell r="C1376" t="str">
            <v>Pre-blowing value</v>
          </cell>
          <cell r="D1376" t="str">
            <v>Wartość nadmuchu wstępnego</v>
          </cell>
          <cell r="J1376" t="str">
            <v xml:space="preserve"> </v>
          </cell>
        </row>
        <row r="1377">
          <cell r="A1377">
            <v>1376</v>
          </cell>
          <cell r="J1377" t="str">
            <v xml:space="preserve"> </v>
          </cell>
        </row>
        <row r="1378">
          <cell r="A1378">
            <v>1377</v>
          </cell>
          <cell r="J1378" t="str">
            <v xml:space="preserve"> </v>
          </cell>
        </row>
        <row r="1379">
          <cell r="A1379">
            <v>1378</v>
          </cell>
          <cell r="B1379" t="str">
            <v>Vitesse arrière</v>
          </cell>
          <cell r="C1379" t="str">
            <v>Speed backward</v>
          </cell>
          <cell r="D1379" t="str">
            <v>Prędkość w tył</v>
          </cell>
          <cell r="J1379" t="str">
            <v xml:space="preserve"> </v>
          </cell>
        </row>
        <row r="1380">
          <cell r="A1380">
            <v>1379</v>
          </cell>
          <cell r="B1380" t="str">
            <v>Vitesse avant</v>
          </cell>
          <cell r="C1380" t="str">
            <v>Speed forward</v>
          </cell>
          <cell r="D1380" t="str">
            <v>Prędkość w przód</v>
          </cell>
          <cell r="J1380" t="str">
            <v xml:space="preserve"> </v>
          </cell>
        </row>
        <row r="1381">
          <cell r="A1381">
            <v>1380</v>
          </cell>
          <cell r="B1381" t="str">
            <v>Profil expulsion</v>
          </cell>
          <cell r="C1381" t="str">
            <v>Push-out profile</v>
          </cell>
          <cell r="D1381" t="str">
            <v>Profil wypchania</v>
          </cell>
          <cell r="J1381" t="str">
            <v xml:space="preserve"> </v>
          </cell>
        </row>
        <row r="1382">
          <cell r="A1382">
            <v>1381</v>
          </cell>
          <cell r="I1382" t="str">
            <v xml:space="preserve"> </v>
          </cell>
          <cell r="J1382" t="str">
            <v xml:space="preserve"> </v>
          </cell>
        </row>
        <row r="1383">
          <cell r="A1383">
            <v>1382</v>
          </cell>
          <cell r="B1383" t="str">
            <v>Paramètre généraux</v>
          </cell>
          <cell r="C1383" t="str">
            <v>Accessories parameters</v>
          </cell>
          <cell r="D1383" t="str">
            <v>Ustawienia ogólne</v>
          </cell>
          <cell r="J1383" t="str">
            <v xml:space="preserve"> </v>
          </cell>
        </row>
        <row r="1384">
          <cell r="A1384">
            <v>1383</v>
          </cell>
          <cell r="B1384" t="str">
            <v>Retard fermeture paraison</v>
          </cell>
          <cell r="C1384" t="str">
            <v>Parison closing delay</v>
          </cell>
          <cell r="D1384" t="str">
            <v xml:space="preserve"> --&gt; polish ?</v>
          </cell>
          <cell r="J1384" t="str">
            <v xml:space="preserve"> </v>
          </cell>
        </row>
        <row r="1385">
          <cell r="A1385">
            <v>1384</v>
          </cell>
          <cell r="B1385" t="str">
            <v>Temps fermeture paraison</v>
          </cell>
          <cell r="C1385" t="str">
            <v>Parison closing time</v>
          </cell>
          <cell r="D1385" t="str">
            <v xml:space="preserve"> --&gt; polish ?</v>
          </cell>
          <cell r="J1385" t="str">
            <v xml:space="preserve"> </v>
          </cell>
        </row>
        <row r="1386">
          <cell r="A1386">
            <v>1385</v>
          </cell>
          <cell r="B1386" t="str">
            <v>2° mouvement pince</v>
          </cell>
          <cell r="C1386" t="str">
            <v>2nd stakeout movement</v>
          </cell>
          <cell r="D1386" t="str">
            <v xml:space="preserve"> --&gt; polish ?</v>
          </cell>
          <cell r="J1386" t="str">
            <v xml:space="preserve"> </v>
          </cell>
        </row>
        <row r="1387">
          <cell r="A1387">
            <v>1386</v>
          </cell>
          <cell r="B1387" t="str">
            <v>Retard découpe</v>
          </cell>
          <cell r="C1387" t="str">
            <v>Cutting delay</v>
          </cell>
          <cell r="D1387" t="str">
            <v>Opóźnienie cięcia</v>
          </cell>
          <cell r="J1387" t="str">
            <v xml:space="preserve"> </v>
          </cell>
        </row>
        <row r="1388">
          <cell r="A1388">
            <v>1387</v>
          </cell>
          <cell r="B1388" t="str">
            <v>Temps de découpe</v>
          </cell>
          <cell r="C1388" t="str">
            <v>Cutting time</v>
          </cell>
          <cell r="D1388" t="str">
            <v>Czas cięcia</v>
          </cell>
          <cell r="J1388" t="str">
            <v xml:space="preserve"> </v>
          </cell>
        </row>
        <row r="1389">
          <cell r="A1389">
            <v>1388</v>
          </cell>
          <cell r="B1389" t="str">
            <v>Racleur</v>
          </cell>
          <cell r="C1389" t="str">
            <v>Scrapper</v>
          </cell>
          <cell r="D1389" t="str">
            <v>Zgniatarka</v>
          </cell>
          <cell r="J1389" t="str">
            <v xml:space="preserve"> </v>
          </cell>
        </row>
        <row r="1390">
          <cell r="A1390">
            <v>1389</v>
          </cell>
          <cell r="B1390" t="str">
            <v>Cadence</v>
          </cell>
          <cell r="C1390" t="str">
            <v>Cadency</v>
          </cell>
          <cell r="D1390" t="str">
            <v>Tempo</v>
          </cell>
          <cell r="J1390" t="str">
            <v xml:space="preserve"> </v>
          </cell>
        </row>
        <row r="1391">
          <cell r="A1391">
            <v>1390</v>
          </cell>
          <cell r="B1391" t="str">
            <v>Vitesse 1</v>
          </cell>
          <cell r="C1391" t="str">
            <v>Speed 1</v>
          </cell>
          <cell r="D1391" t="str">
            <v>Prędkość 1</v>
          </cell>
          <cell r="J1391" t="str">
            <v xml:space="preserve"> </v>
          </cell>
        </row>
        <row r="1392">
          <cell r="A1392">
            <v>1391</v>
          </cell>
          <cell r="B1392" t="str">
            <v>Vitesse 2</v>
          </cell>
          <cell r="C1392" t="str">
            <v>Speed 2</v>
          </cell>
          <cell r="D1392" t="str">
            <v>Prędkość 2</v>
          </cell>
          <cell r="J1392" t="str">
            <v xml:space="preserve"> </v>
          </cell>
        </row>
        <row r="1393">
          <cell r="A1393">
            <v>1392</v>
          </cell>
          <cell r="B1393" t="str">
            <v>Vitesse 3</v>
          </cell>
          <cell r="C1393" t="str">
            <v>Speed 3</v>
          </cell>
          <cell r="D1393" t="str">
            <v>Prędkość 3</v>
          </cell>
          <cell r="J1393" t="str">
            <v xml:space="preserve"> </v>
          </cell>
        </row>
        <row r="1394">
          <cell r="A1394">
            <v>1393</v>
          </cell>
          <cell r="B1394" t="str">
            <v>Vitesse 4</v>
          </cell>
          <cell r="C1394" t="str">
            <v>Speed 4</v>
          </cell>
          <cell r="D1394" t="str">
            <v>Prędkość 4</v>
          </cell>
          <cell r="J1394" t="str">
            <v xml:space="preserve"> </v>
          </cell>
        </row>
        <row r="1395">
          <cell r="A1395">
            <v>1394</v>
          </cell>
          <cell r="B1395" t="str">
            <v>Fourreau 1</v>
          </cell>
          <cell r="C1395" t="str">
            <v>Barrel 1</v>
          </cell>
          <cell r="D1395" t="str">
            <v>Cylinder 1</v>
          </cell>
          <cell r="J1395" t="str">
            <v xml:space="preserve"> </v>
          </cell>
        </row>
        <row r="1396">
          <cell r="A1396">
            <v>1395</v>
          </cell>
          <cell r="B1396" t="str">
            <v>Fourreau 2</v>
          </cell>
          <cell r="C1396" t="str">
            <v>Barrel 2</v>
          </cell>
          <cell r="D1396" t="str">
            <v>Cylinder 2</v>
          </cell>
          <cell r="J1396" t="str">
            <v xml:space="preserve"> </v>
          </cell>
        </row>
        <row r="1397">
          <cell r="A1397">
            <v>1396</v>
          </cell>
          <cell r="B1397" t="str">
            <v>Fourreau 3</v>
          </cell>
          <cell r="C1397" t="str">
            <v>Barrel 3</v>
          </cell>
          <cell r="D1397" t="str">
            <v>Cylinder 3</v>
          </cell>
          <cell r="J1397" t="str">
            <v xml:space="preserve"> </v>
          </cell>
        </row>
        <row r="1398">
          <cell r="A1398">
            <v>1397</v>
          </cell>
          <cell r="B1398" t="str">
            <v>Fourreau 4</v>
          </cell>
          <cell r="C1398" t="str">
            <v>Barrel 4</v>
          </cell>
          <cell r="D1398" t="str">
            <v>Cylinder 4</v>
          </cell>
          <cell r="J1398" t="str">
            <v xml:space="preserve"> </v>
          </cell>
        </row>
        <row r="1399">
          <cell r="A1399">
            <v>1398</v>
          </cell>
          <cell r="J1399" t="str">
            <v xml:space="preserve"> </v>
          </cell>
        </row>
        <row r="1400">
          <cell r="A1400">
            <v>1399</v>
          </cell>
          <cell r="B1400" t="str">
            <v>Retard couteaux 2</v>
          </cell>
          <cell r="C1400" t="str">
            <v>Blades delay 2</v>
          </cell>
          <cell r="D1400" t="str">
            <v>Opóźnienie noży 2</v>
          </cell>
          <cell r="J1400" t="str">
            <v xml:space="preserve"> </v>
          </cell>
        </row>
        <row r="1401">
          <cell r="A1401">
            <v>1400</v>
          </cell>
          <cell r="B1401" t="str">
            <v>Retard couteaux 3</v>
          </cell>
          <cell r="C1401" t="str">
            <v>Blades delay 3</v>
          </cell>
          <cell r="D1401" t="str">
            <v>Opóźnienie noży 3</v>
          </cell>
          <cell r="J1401" t="str">
            <v xml:space="preserve"> </v>
          </cell>
        </row>
        <row r="1402">
          <cell r="A1402">
            <v>1401</v>
          </cell>
          <cell r="J1402" t="str">
            <v xml:space="preserve"> </v>
          </cell>
        </row>
        <row r="1403">
          <cell r="A1403">
            <v>1402</v>
          </cell>
          <cell r="B1403" t="str">
            <v>Temps couteaux 2</v>
          </cell>
          <cell r="C1403" t="str">
            <v>Blades time 2</v>
          </cell>
          <cell r="D1403" t="str">
            <v>Czas noży 2</v>
          </cell>
          <cell r="J1403" t="str">
            <v xml:space="preserve"> </v>
          </cell>
        </row>
        <row r="1404">
          <cell r="A1404">
            <v>1403</v>
          </cell>
          <cell r="B1404" t="str">
            <v>Temps couteaux 3</v>
          </cell>
          <cell r="C1404" t="str">
            <v>Blades time 3</v>
          </cell>
          <cell r="D1404" t="str">
            <v>Czas noży 3</v>
          </cell>
          <cell r="J1404" t="str">
            <v xml:space="preserve"> </v>
          </cell>
        </row>
        <row r="1405">
          <cell r="A1405">
            <v>1404</v>
          </cell>
          <cell r="J1405" t="str">
            <v xml:space="preserve"> </v>
          </cell>
        </row>
        <row r="1406">
          <cell r="A1406">
            <v>1405</v>
          </cell>
          <cell r="J1406" t="str">
            <v xml:space="preserve"> </v>
          </cell>
        </row>
        <row r="1407">
          <cell r="A1407">
            <v>1406</v>
          </cell>
          <cell r="J1407" t="str">
            <v xml:space="preserve"> </v>
          </cell>
        </row>
        <row r="1408">
          <cell r="A1408">
            <v>1407</v>
          </cell>
          <cell r="J1408" t="str">
            <v xml:space="preserve"> </v>
          </cell>
        </row>
        <row r="1409">
          <cell r="A1409">
            <v>1408</v>
          </cell>
          <cell r="J1409" t="str">
            <v xml:space="preserve"> </v>
          </cell>
        </row>
        <row r="1410">
          <cell r="A1410">
            <v>1409</v>
          </cell>
          <cell r="J1410" t="str">
            <v xml:space="preserve"> </v>
          </cell>
        </row>
        <row r="1411">
          <cell r="A1411">
            <v>1410</v>
          </cell>
          <cell r="B1411" t="str">
            <v>Retard decharge rapide 2</v>
          </cell>
          <cell r="C1411" t="str">
            <v>Quick unload delay 2</v>
          </cell>
          <cell r="D1411" t="str">
            <v>Opóźnienie szybkiego rozładowania 2</v>
          </cell>
          <cell r="J1411" t="str">
            <v xml:space="preserve"> </v>
          </cell>
        </row>
        <row r="1412">
          <cell r="A1412">
            <v>1411</v>
          </cell>
          <cell r="J1412" t="str">
            <v xml:space="preserve"> </v>
          </cell>
        </row>
        <row r="1413">
          <cell r="A1413">
            <v>1412</v>
          </cell>
          <cell r="J1413" t="str">
            <v xml:space="preserve"> </v>
          </cell>
        </row>
        <row r="1414">
          <cell r="A1414">
            <v>1413</v>
          </cell>
          <cell r="J1414" t="str">
            <v xml:space="preserve"> </v>
          </cell>
        </row>
        <row r="1415">
          <cell r="A1415">
            <v>1414</v>
          </cell>
          <cell r="J1415" t="str">
            <v xml:space="preserve"> </v>
          </cell>
        </row>
        <row r="1416">
          <cell r="A1416">
            <v>1415</v>
          </cell>
          <cell r="J1416" t="str">
            <v xml:space="preserve"> </v>
          </cell>
        </row>
        <row r="1417">
          <cell r="A1417">
            <v>1416</v>
          </cell>
          <cell r="J1417" t="str">
            <v xml:space="preserve"> </v>
          </cell>
        </row>
        <row r="1418">
          <cell r="A1418">
            <v>1417</v>
          </cell>
          <cell r="J1418" t="str">
            <v xml:space="preserve"> </v>
          </cell>
        </row>
        <row r="1419">
          <cell r="A1419">
            <v>1418</v>
          </cell>
          <cell r="J1419" t="str">
            <v xml:space="preserve"> </v>
          </cell>
        </row>
        <row r="1420">
          <cell r="A1420">
            <v>1419</v>
          </cell>
          <cell r="B1420" t="str">
            <v>FICHE DE REGLAGE SOUFFLAGE : PS0402</v>
          </cell>
          <cell r="C1420" t="str">
            <v>BLOW MOLDING ADJUSTMENT SHEET : PS0402</v>
          </cell>
          <cell r="D1420" t="str">
            <v>KARTA REGULACJI NADMUCHU PS0402</v>
          </cell>
          <cell r="J1420" t="str">
            <v xml:space="preserve"> </v>
          </cell>
        </row>
        <row r="1421">
          <cell r="A1421">
            <v>1420</v>
          </cell>
          <cell r="J1421" t="str">
            <v xml:space="preserve"> </v>
          </cell>
        </row>
        <row r="1422">
          <cell r="A1422">
            <v>1421</v>
          </cell>
          <cell r="J1422" t="str">
            <v xml:space="preserve"> </v>
          </cell>
        </row>
        <row r="1423">
          <cell r="A1423">
            <v>1422</v>
          </cell>
          <cell r="J1423" t="str">
            <v xml:space="preserve"> </v>
          </cell>
        </row>
        <row r="1424">
          <cell r="A1424">
            <v>1423</v>
          </cell>
          <cell r="J1424" t="str">
            <v xml:space="preserve"> </v>
          </cell>
        </row>
        <row r="1425">
          <cell r="A1425">
            <v>1424</v>
          </cell>
          <cell r="J1425" t="str">
            <v xml:space="preserve"> </v>
          </cell>
        </row>
        <row r="1426">
          <cell r="A1426">
            <v>1425</v>
          </cell>
          <cell r="J1426" t="str">
            <v xml:space="preserve"> </v>
          </cell>
        </row>
        <row r="1427">
          <cell r="A1427">
            <v>1426</v>
          </cell>
          <cell r="J1427" t="str">
            <v xml:space="preserve"> </v>
          </cell>
        </row>
        <row r="1428">
          <cell r="A1428">
            <v>1427</v>
          </cell>
          <cell r="J1428" t="str">
            <v xml:space="preserve"> </v>
          </cell>
        </row>
        <row r="1429">
          <cell r="A1429">
            <v>1428</v>
          </cell>
          <cell r="J1429" t="str">
            <v xml:space="preserve"> </v>
          </cell>
        </row>
        <row r="1430">
          <cell r="A1430">
            <v>1429</v>
          </cell>
          <cell r="J1430" t="str">
            <v xml:space="preserve"> </v>
          </cell>
        </row>
        <row r="1431">
          <cell r="A1431">
            <v>1430</v>
          </cell>
          <cell r="J1431" t="str">
            <v xml:space="preserve"> </v>
          </cell>
        </row>
        <row r="1432">
          <cell r="A1432">
            <v>1431</v>
          </cell>
          <cell r="J1432" t="str">
            <v xml:space="preserve"> </v>
          </cell>
        </row>
        <row r="1433">
          <cell r="A1433">
            <v>1432</v>
          </cell>
          <cell r="J1433" t="str">
            <v xml:space="preserve"> </v>
          </cell>
        </row>
        <row r="1434">
          <cell r="A1434">
            <v>1433</v>
          </cell>
          <cell r="J1434" t="str">
            <v xml:space="preserve"> </v>
          </cell>
        </row>
        <row r="1435">
          <cell r="A1435">
            <v>1434</v>
          </cell>
          <cell r="J1435" t="str">
            <v xml:space="preserve"> </v>
          </cell>
        </row>
        <row r="1436">
          <cell r="A1436">
            <v>1435</v>
          </cell>
          <cell r="J1436" t="str">
            <v xml:space="preserve"> </v>
          </cell>
        </row>
        <row r="1437">
          <cell r="A1437">
            <v>1436</v>
          </cell>
          <cell r="J1437" t="str">
            <v xml:space="preserve"> </v>
          </cell>
        </row>
        <row r="1438">
          <cell r="A1438">
            <v>1437</v>
          </cell>
          <cell r="J1438" t="str">
            <v xml:space="preserve"> </v>
          </cell>
        </row>
        <row r="1439">
          <cell r="A1439">
            <v>1438</v>
          </cell>
          <cell r="J1439" t="str">
            <v xml:space="preserve"> </v>
          </cell>
        </row>
        <row r="1440">
          <cell r="A1440">
            <v>1439</v>
          </cell>
          <cell r="J1440" t="str">
            <v xml:space="preserve"> </v>
          </cell>
        </row>
        <row r="1441">
          <cell r="A1441">
            <v>1440</v>
          </cell>
          <cell r="B1441" t="str">
            <v>FICHE DE REGLAGE INJECTION (Type) : SANDRETTO</v>
          </cell>
          <cell r="C1441" t="str">
            <v>INJECTION ADJUSTMENT SHEET (Type) : SANDRETTO</v>
          </cell>
          <cell r="D1441" t="str">
            <v>KARTA REGULACJI WTRYSKU (Ogólna) : SANDRETTO</v>
          </cell>
          <cell r="E1441" t="str">
            <v>FISA DE REGLAJ INJECTIEI (Tip) : SANDRETTO</v>
          </cell>
          <cell r="F1441" t="str">
            <v>FICHA DE AJUSTE DE INYECCIÓN (Tipo) : SANDRETTO</v>
          </cell>
          <cell r="H1441" t="str">
            <v>FRÖCCSÖNTÕ TECHNOLÓGIAI LAP (típusonként) : SANDRETTO</v>
          </cell>
          <cell r="J1441" t="str">
            <v xml:space="preserve"> </v>
          </cell>
        </row>
        <row r="1442">
          <cell r="A1442">
            <v>1441</v>
          </cell>
          <cell r="B1442" t="str">
            <v>Pause ejection</v>
          </cell>
          <cell r="C1442" t="str">
            <v>Ejecton break time</v>
          </cell>
          <cell r="D1442" t="str">
            <v>Opóźnienie wypychania</v>
          </cell>
          <cell r="J1442" t="str">
            <v xml:space="preserve"> </v>
          </cell>
        </row>
        <row r="1443">
          <cell r="A1443">
            <v>1442</v>
          </cell>
          <cell r="B1443" t="str">
            <v>Intercycle</v>
          </cell>
          <cell r="C1443" t="str">
            <v>Intercycle</v>
          </cell>
          <cell r="D1443" t="str">
            <v>Intercykl</v>
          </cell>
          <cell r="J1443" t="str">
            <v xml:space="preserve"> </v>
          </cell>
        </row>
        <row r="1444">
          <cell r="A1444">
            <v>1443</v>
          </cell>
          <cell r="B1444" t="str">
            <v>Position fin ouverture</v>
          </cell>
          <cell r="C1444" t="str">
            <v>Stroke end position</v>
          </cell>
          <cell r="D1444" t="str">
            <v>Końcowa pozycja otwarcia</v>
          </cell>
          <cell r="J1444" t="str">
            <v xml:space="preserve"> </v>
          </cell>
        </row>
        <row r="1445">
          <cell r="A1445">
            <v>1444</v>
          </cell>
          <cell r="B1445" t="str">
            <v>Refroidissement</v>
          </cell>
          <cell r="C1445" t="str">
            <v>Cooling</v>
          </cell>
          <cell r="D1445" t="str">
            <v>Chłodzenie</v>
          </cell>
          <cell r="J1445" t="str">
            <v xml:space="preserve"> </v>
          </cell>
        </row>
        <row r="1446">
          <cell r="A1446">
            <v>1445</v>
          </cell>
          <cell r="B1446" t="str">
            <v>Nombre d'ejections</v>
          </cell>
          <cell r="C1446" t="str">
            <v>Ejection quantity</v>
          </cell>
          <cell r="D1446" t="str">
            <v>Ilość ruchów wypychacza</v>
          </cell>
          <cell r="J1446" t="str">
            <v xml:space="preserve"> </v>
          </cell>
        </row>
        <row r="1447">
          <cell r="A1447">
            <v>1446</v>
          </cell>
          <cell r="B1447" t="str">
            <v>Position depart ejection</v>
          </cell>
          <cell r="C1447" t="str">
            <v>Ejection start position</v>
          </cell>
          <cell r="D1447" t="str">
            <v>Pozycja startowa wypychacza</v>
          </cell>
          <cell r="J1447" t="str">
            <v xml:space="preserve"> </v>
          </cell>
        </row>
        <row r="1448">
          <cell r="A1448">
            <v>1447</v>
          </cell>
          <cell r="B1448" t="str">
            <v>Retard</v>
          </cell>
          <cell r="C1448" t="str">
            <v>Delay</v>
          </cell>
          <cell r="D1448" t="str">
            <v>Opóźnienie</v>
          </cell>
          <cell r="E1448" t="str">
            <v>Tip</v>
          </cell>
          <cell r="F1448" t="str">
            <v>Tiempo</v>
          </cell>
          <cell r="H1448" t="str">
            <v>Adag</v>
          </cell>
          <cell r="J1448" t="str">
            <v xml:space="preserve"> </v>
          </cell>
        </row>
        <row r="1449">
          <cell r="A1449">
            <v>1448</v>
          </cell>
          <cell r="B1449" t="str">
            <v>Tiroir</v>
          </cell>
          <cell r="C1449" t="str">
            <v>Slider</v>
          </cell>
          <cell r="D1449" t="str">
            <v>Suwak</v>
          </cell>
          <cell r="J1449" t="str">
            <v xml:space="preserve"> </v>
          </cell>
        </row>
        <row r="1450">
          <cell r="A1450">
            <v>1449</v>
          </cell>
          <cell r="B1450" t="str">
            <v>Passage en 2° pression</v>
          </cell>
          <cell r="C1450" t="str">
            <v>Transition in 2nd pressure</v>
          </cell>
          <cell r="D1450" t="str">
            <v>Przełączenie na drugie ciśnienie</v>
          </cell>
          <cell r="J1450" t="str">
            <v xml:space="preserve"> </v>
          </cell>
        </row>
        <row r="1451">
          <cell r="A1451">
            <v>1450</v>
          </cell>
          <cell r="B1451" t="str">
            <v>Position vis</v>
          </cell>
          <cell r="C1451" t="str">
            <v>Screw position</v>
          </cell>
          <cell r="D1451" t="str">
            <v>Poyzcja ślimaka</v>
          </cell>
          <cell r="J1451" t="str">
            <v xml:space="preserve"> </v>
          </cell>
        </row>
        <row r="1452">
          <cell r="A1452">
            <v>1451</v>
          </cell>
          <cell r="B1452" t="str">
            <v>Position dosage</v>
          </cell>
          <cell r="C1452" t="str">
            <v>Dosage position</v>
          </cell>
          <cell r="D1452" t="str">
            <v>Pozycja dozowania</v>
          </cell>
          <cell r="J1452" t="str">
            <v xml:space="preserve"> </v>
          </cell>
        </row>
        <row r="1453">
          <cell r="A1453">
            <v>1452</v>
          </cell>
          <cell r="B1453" t="str">
            <v>Position passage en 2eme</v>
          </cell>
          <cell r="C1453" t="str">
            <v>Position of transition in 2nd</v>
          </cell>
          <cell r="D1453" t="str">
            <v>Pozycja przełączenia ciśnienia</v>
          </cell>
          <cell r="J1453" t="str">
            <v xml:space="preserve"> </v>
          </cell>
        </row>
        <row r="1454">
          <cell r="A1454">
            <v>1453</v>
          </cell>
          <cell r="B1454" t="str">
            <v>Position consentement en 2eme</v>
          </cell>
          <cell r="C1454" t="str">
            <v>Position switchover in 2nd</v>
          </cell>
          <cell r="D1454" t="str">
            <v>Pozycja przełączenia w 2 od czasu</v>
          </cell>
          <cell r="J1454" t="str">
            <v xml:space="preserve"> </v>
          </cell>
        </row>
        <row r="1455">
          <cell r="A1455">
            <v>1454</v>
          </cell>
          <cell r="B1455" t="str">
            <v>Consentement</v>
          </cell>
          <cell r="C1455" t="str">
            <v>Authorization</v>
          </cell>
          <cell r="D1455" t="str">
            <v>Zezwolenie</v>
          </cell>
          <cell r="J1455" t="str">
            <v xml:space="preserve"> </v>
          </cell>
        </row>
        <row r="1456">
          <cell r="A1456">
            <v>1455</v>
          </cell>
          <cell r="B1456" t="str">
            <v>Tolerance passage en 2eme</v>
          </cell>
          <cell r="C1456" t="str">
            <v>Tolerance transition in 2nd</v>
          </cell>
          <cell r="D1456" t="str">
            <v>Tolerancja przełączenia w 2</v>
          </cell>
          <cell r="J1456" t="str">
            <v xml:space="preserve"> </v>
          </cell>
        </row>
        <row r="1457">
          <cell r="A1457">
            <v>1456</v>
          </cell>
          <cell r="B1457" t="str">
            <v>Limite pression</v>
          </cell>
          <cell r="C1457" t="str">
            <v>Pressure limit</v>
          </cell>
          <cell r="D1457" t="str">
            <v>Ciśnienie zabezpieczające</v>
          </cell>
          <cell r="J1457" t="str">
            <v xml:space="preserve"> </v>
          </cell>
        </row>
        <row r="1458">
          <cell r="A1458">
            <v>1457</v>
          </cell>
          <cell r="B1458" t="str">
            <v>Profil de 2eme</v>
          </cell>
          <cell r="C1458" t="str">
            <v>Profile of 2nd</v>
          </cell>
          <cell r="D1458" t="str">
            <v>Profil drugiego</v>
          </cell>
          <cell r="J1458" t="str">
            <v xml:space="preserve"> </v>
          </cell>
        </row>
        <row r="1459">
          <cell r="A1459">
            <v>1458</v>
          </cell>
          <cell r="B1459" t="str">
            <v>Pression hydraul. Passage en 2eme</v>
          </cell>
          <cell r="C1459" t="str">
            <v>Hydraul. Pressure Transition in 2nd</v>
          </cell>
          <cell r="D1459" t="str">
            <v xml:space="preserve">Ciśnienie hzdraulicyne . Drugie przejcie </v>
          </cell>
          <cell r="J1459" t="str">
            <v xml:space="preserve"> </v>
          </cell>
        </row>
        <row r="1460">
          <cell r="A1460">
            <v>1459</v>
          </cell>
          <cell r="B1460" t="str">
            <v>Durée Intrusion</v>
          </cell>
          <cell r="C1460" t="str">
            <v>Intrusion time</v>
          </cell>
          <cell r="D1460" t="str">
            <v>Czas instruzji</v>
          </cell>
          <cell r="J1460" t="str">
            <v xml:space="preserve"> </v>
          </cell>
        </row>
        <row r="1461">
          <cell r="A1461">
            <v>1460</v>
          </cell>
          <cell r="B1461" t="str">
            <v>Retard injection</v>
          </cell>
          <cell r="C1461" t="str">
            <v>Injection delay</v>
          </cell>
          <cell r="D1461" t="str">
            <v>Opóżnienie wtrysku</v>
          </cell>
          <cell r="J1461" t="str">
            <v xml:space="preserve"> </v>
          </cell>
        </row>
        <row r="1462">
          <cell r="A1462">
            <v>1461</v>
          </cell>
          <cell r="B1462" t="str">
            <v>Durée 2eme phase</v>
          </cell>
          <cell r="C1462" t="str">
            <v>2nd phase time</v>
          </cell>
          <cell r="D1462" t="str">
            <v>Czas 2 fazy</v>
          </cell>
          <cell r="J1462" t="str">
            <v xml:space="preserve"> </v>
          </cell>
        </row>
        <row r="1463">
          <cell r="A1463">
            <v>1462</v>
          </cell>
          <cell r="B1463" t="str">
            <v>Durée totale</v>
          </cell>
          <cell r="C1463" t="str">
            <v>Total time</v>
          </cell>
          <cell r="D1463" t="str">
            <v>Czas całkowity</v>
          </cell>
          <cell r="J1463" t="str">
            <v xml:space="preserve"> </v>
          </cell>
        </row>
        <row r="1464">
          <cell r="A1464">
            <v>1463</v>
          </cell>
          <cell r="B1464" t="str">
            <v>PONTON</v>
          </cell>
          <cell r="C1464" t="str">
            <v>INJECTION UNIT</v>
          </cell>
          <cell r="D1464" t="str">
            <v>JEDNOSTKI WTRYSKOWE</v>
          </cell>
          <cell r="E1464" t="str">
            <v>UNITATE DE INJECTIE</v>
          </cell>
          <cell r="F1464" t="str">
            <v>CARRO INYECCIÓN</v>
          </cell>
          <cell r="H1464" t="str">
            <v>FRÖCCSÖNTÕ UNIT</v>
          </cell>
          <cell r="J1464" t="str">
            <v xml:space="preserve"> </v>
          </cell>
        </row>
        <row r="1465">
          <cell r="A1465">
            <v>1464</v>
          </cell>
          <cell r="B1465" t="str">
            <v>Retard debut plastif.</v>
          </cell>
          <cell r="C1465" t="str">
            <v>Delay of Start plasticizing</v>
          </cell>
          <cell r="D1465" t="str">
            <v>Opóźnienie dozowania</v>
          </cell>
          <cell r="J1465" t="str">
            <v xml:space="preserve"> </v>
          </cell>
        </row>
        <row r="1466">
          <cell r="A1466">
            <v>1465</v>
          </cell>
          <cell r="B1466" t="str">
            <v>Succion fin injection</v>
          </cell>
          <cell r="C1466" t="str">
            <v>End of injection sucking</v>
          </cell>
          <cell r="D1466" t="str">
            <v>Koniec ssania wtrysku</v>
          </cell>
          <cell r="J1466" t="str">
            <v xml:space="preserve"> </v>
          </cell>
        </row>
        <row r="1467">
          <cell r="A1467">
            <v>1466</v>
          </cell>
          <cell r="B1467" t="str">
            <v>Cote moule</v>
          </cell>
          <cell r="C1467" t="str">
            <v>Mold dimension</v>
          </cell>
          <cell r="D1467" t="str">
            <v>Wymiary formy</v>
          </cell>
          <cell r="J1467" t="str">
            <v xml:space="preserve"> </v>
          </cell>
        </row>
        <row r="1468">
          <cell r="A1468">
            <v>1467</v>
          </cell>
          <cell r="J1468" t="str">
            <v xml:space="preserve"> </v>
          </cell>
        </row>
        <row r="1469">
          <cell r="A1469">
            <v>1468</v>
          </cell>
          <cell r="B1469" t="str">
            <v>Retard recul ponton</v>
          </cell>
          <cell r="C1469" t="str">
            <v>Inj. unit backward delay</v>
          </cell>
          <cell r="D1469" t="str">
            <v>Opóźnienie wtrysku</v>
          </cell>
          <cell r="J1469" t="str">
            <v xml:space="preserve"> </v>
          </cell>
        </row>
        <row r="1470">
          <cell r="A1470">
            <v>1469</v>
          </cell>
          <cell r="B1470" t="str">
            <v>Vitesse ponton</v>
          </cell>
          <cell r="C1470" t="str">
            <v>Injection unit speed</v>
          </cell>
          <cell r="D1470" t="str">
            <v>Szybkość wtrysku</v>
          </cell>
          <cell r="J1470" t="str">
            <v xml:space="preserve"> </v>
          </cell>
        </row>
        <row r="1471">
          <cell r="A1471">
            <v>1470</v>
          </cell>
          <cell r="B1471" t="str">
            <v>Position recul ponton</v>
          </cell>
          <cell r="C1471" t="str">
            <v>Injection unit position</v>
          </cell>
          <cell r="D1471" t="str">
            <v>Pozycja wtrysku</v>
          </cell>
          <cell r="J1471" t="str">
            <v xml:space="preserve"> </v>
          </cell>
        </row>
        <row r="1472">
          <cell r="A1472">
            <v>1471</v>
          </cell>
          <cell r="B1472" t="str">
            <v>Consentement injection</v>
          </cell>
          <cell r="C1472" t="str">
            <v>Injection authorization</v>
          </cell>
          <cell r="D1472" t="str">
            <v>Zgoda na wtrysk</v>
          </cell>
          <cell r="J1472" t="str">
            <v xml:space="preserve"> </v>
          </cell>
        </row>
        <row r="1473">
          <cell r="A1473">
            <v>1472</v>
          </cell>
          <cell r="B1473" t="str">
            <v>Durée éjection bout froid</v>
          </cell>
          <cell r="C1473" t="str">
            <v>Ejection time cold end</v>
          </cell>
          <cell r="D1473" t="str">
            <v>Czas wypychania wlewka</v>
          </cell>
          <cell r="J1473" t="str">
            <v xml:space="preserve"> </v>
          </cell>
        </row>
        <row r="1474">
          <cell r="A1474">
            <v>1473</v>
          </cell>
          <cell r="B1474" t="str">
            <v>CONTRÔLE QUALITE</v>
          </cell>
          <cell r="C1474" t="str">
            <v>QUALITY CONTROL</v>
          </cell>
          <cell r="D1474" t="str">
            <v>KONTROLA JAKOŚCI</v>
          </cell>
          <cell r="J1474" t="str">
            <v xml:space="preserve"> </v>
          </cell>
        </row>
        <row r="1475">
          <cell r="A1475">
            <v>1474</v>
          </cell>
          <cell r="B1475" t="str">
            <v>Durée plastification</v>
          </cell>
          <cell r="C1475" t="str">
            <v>Plasticizing time</v>
          </cell>
          <cell r="D1475" t="str">
            <v>Czas dozowania</v>
          </cell>
          <cell r="J1475" t="str">
            <v xml:space="preserve"> </v>
          </cell>
        </row>
        <row r="1476">
          <cell r="A1476">
            <v>1475</v>
          </cell>
          <cell r="B1476" t="str">
            <v>Durée remplissage</v>
          </cell>
          <cell r="C1476" t="str">
            <v>Filling time</v>
          </cell>
          <cell r="D1476" t="str">
            <v>Czas wtrysku</v>
          </cell>
          <cell r="J1476" t="str">
            <v xml:space="preserve"> </v>
          </cell>
        </row>
        <row r="1477">
          <cell r="A1477">
            <v>1476</v>
          </cell>
          <cell r="B1477" t="str">
            <v>Cote finale matelas</v>
          </cell>
          <cell r="C1477" t="str">
            <v>Final cushing dimension</v>
          </cell>
          <cell r="D1477" t="str">
            <v>Poduszka</v>
          </cell>
          <cell r="J1477" t="str">
            <v xml:space="preserve"> </v>
          </cell>
        </row>
        <row r="1478">
          <cell r="A1478">
            <v>1477</v>
          </cell>
        </row>
        <row r="1479">
          <cell r="A1479">
            <v>1478</v>
          </cell>
        </row>
        <row r="1480">
          <cell r="A1480">
            <v>1479</v>
          </cell>
        </row>
        <row r="1481">
          <cell r="A1481">
            <v>1480</v>
          </cell>
          <cell r="B1481" t="str">
            <v>FRANCAIS</v>
          </cell>
          <cell r="C1481" t="str">
            <v>ENGLISH</v>
          </cell>
          <cell r="D1481" t="str">
            <v>POLSKI</v>
          </cell>
          <cell r="E1481" t="str">
            <v>ROMANIA</v>
          </cell>
          <cell r="F1481" t="str">
            <v>ESPANA</v>
          </cell>
          <cell r="G1481" t="str">
            <v>PORTUGUESE</v>
          </cell>
          <cell r="H1481" t="str">
            <v>HUNGARY</v>
          </cell>
          <cell r="I1481" t="str">
            <v>SLOVAKIA</v>
          </cell>
        </row>
        <row r="1482">
          <cell r="A1482">
            <v>1481</v>
          </cell>
          <cell r="B1482" t="str">
            <v>Words or phrases</v>
          </cell>
          <cell r="C1482" t="str">
            <v>% already translated</v>
          </cell>
        </row>
        <row r="1483">
          <cell r="A1483">
            <v>1482</v>
          </cell>
          <cell r="B1483" t="str">
            <v>1232 termes</v>
          </cell>
          <cell r="C1483">
            <v>1</v>
          </cell>
          <cell r="D1483">
            <v>0.92938311688311692</v>
          </cell>
          <cell r="E1483">
            <v>0.7767857142857143</v>
          </cell>
          <cell r="F1483">
            <v>0.77516233766233766</v>
          </cell>
          <cell r="G1483">
            <v>0.64300202839756593</v>
          </cell>
          <cell r="H1483">
            <v>0.48295454545454547</v>
          </cell>
          <cell r="I1483">
            <v>0.58279220779220775</v>
          </cell>
        </row>
        <row r="1484">
          <cell r="A1484">
            <v>1483</v>
          </cell>
        </row>
        <row r="1485">
          <cell r="A1485">
            <v>1484</v>
          </cell>
        </row>
        <row r="1486">
          <cell r="A1486">
            <v>1485</v>
          </cell>
        </row>
        <row r="1487">
          <cell r="A1487">
            <v>1486</v>
          </cell>
        </row>
        <row r="1488">
          <cell r="A1488">
            <v>1487</v>
          </cell>
        </row>
        <row r="1489">
          <cell r="A1489">
            <v>1488</v>
          </cell>
        </row>
        <row r="1490">
          <cell r="A1490">
            <v>1489</v>
          </cell>
        </row>
        <row r="1491">
          <cell r="A1491">
            <v>1490</v>
          </cell>
        </row>
        <row r="1492">
          <cell r="A1492">
            <v>1491</v>
          </cell>
        </row>
        <row r="1493">
          <cell r="A1493">
            <v>1492</v>
          </cell>
        </row>
        <row r="1494">
          <cell r="A1494">
            <v>1493</v>
          </cell>
        </row>
        <row r="1495">
          <cell r="A1495">
            <v>1494</v>
          </cell>
        </row>
        <row r="1496">
          <cell r="A1496">
            <v>1495</v>
          </cell>
        </row>
        <row r="1497">
          <cell r="A1497">
            <v>1496</v>
          </cell>
        </row>
        <row r="1498">
          <cell r="A1498">
            <v>1497</v>
          </cell>
        </row>
        <row r="1499">
          <cell r="A1499">
            <v>1498</v>
          </cell>
        </row>
        <row r="1500">
          <cell r="A1500">
            <v>1499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BM85"/>
  <sheetViews>
    <sheetView showGridLines="0" tabSelected="1" view="pageBreakPreview" zoomScale="70" zoomScaleNormal="70" zoomScaleSheetLayoutView="70" workbookViewId="0">
      <selection activeCell="AT1" sqref="AT1:AY1"/>
    </sheetView>
  </sheetViews>
  <sheetFormatPr baseColWidth="10" defaultColWidth="9.140625" defaultRowHeight="15"/>
  <cols>
    <col min="1" max="23" width="3" style="45" customWidth="1"/>
    <col min="24" max="24" width="3.140625" style="45" customWidth="1"/>
    <col min="25" max="50" width="3" style="45" customWidth="1"/>
    <col min="51" max="51" width="3.140625" style="45" customWidth="1"/>
    <col min="52" max="63" width="3.28515625" style="45" customWidth="1"/>
    <col min="64" max="16384" width="9.140625" style="45"/>
  </cols>
  <sheetData>
    <row r="1" spans="1:65" ht="14.25" customHeight="1">
      <c r="A1" s="172"/>
      <c r="B1" s="173"/>
      <c r="C1" s="173"/>
      <c r="D1" s="173"/>
      <c r="E1" s="174"/>
      <c r="F1" s="178" t="str">
        <f>Translation!N4</f>
        <v>STANDARD OPERATION SHEET
 ANALYSIS (SOS-A)</v>
      </c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43"/>
      <c r="AM1" s="44"/>
      <c r="AN1" s="195" t="str">
        <f>Translation!N3</f>
        <v>Langue</v>
      </c>
      <c r="AO1" s="195"/>
      <c r="AP1" s="195"/>
      <c r="AQ1" s="195"/>
      <c r="AR1" s="195"/>
      <c r="AS1" s="195"/>
      <c r="AT1" s="199" t="s">
        <v>34</v>
      </c>
      <c r="AU1" s="200"/>
      <c r="AV1" s="200"/>
      <c r="AW1" s="200"/>
      <c r="AX1" s="200"/>
      <c r="AY1" s="201"/>
    </row>
    <row r="2" spans="1:65" ht="14.25" customHeight="1">
      <c r="A2" s="175"/>
      <c r="B2" s="176"/>
      <c r="C2" s="176"/>
      <c r="D2" s="176"/>
      <c r="E2" s="177"/>
      <c r="F2" s="180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46"/>
      <c r="AM2" s="47"/>
      <c r="AN2" s="196" t="s">
        <v>0</v>
      </c>
      <c r="AO2" s="196"/>
      <c r="AP2" s="196"/>
      <c r="AQ2" s="196"/>
      <c r="AR2" s="196"/>
      <c r="AS2" s="196"/>
      <c r="AT2" s="189"/>
      <c r="AU2" s="190"/>
      <c r="AV2" s="190"/>
      <c r="AW2" s="190"/>
      <c r="AX2" s="190"/>
      <c r="AY2" s="191"/>
    </row>
    <row r="3" spans="1:65" ht="14.25" customHeight="1">
      <c r="A3" s="175"/>
      <c r="B3" s="176"/>
      <c r="C3" s="176"/>
      <c r="D3" s="176"/>
      <c r="E3" s="177"/>
      <c r="F3" s="180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46"/>
      <c r="AM3" s="47"/>
      <c r="AN3" s="197"/>
      <c r="AO3" s="197"/>
      <c r="AP3" s="197"/>
      <c r="AQ3" s="197"/>
      <c r="AR3" s="197"/>
      <c r="AS3" s="197"/>
      <c r="AT3" s="202"/>
      <c r="AU3" s="203"/>
      <c r="AV3" s="203"/>
      <c r="AW3" s="203"/>
      <c r="AX3" s="203"/>
      <c r="AY3" s="204"/>
    </row>
    <row r="4" spans="1:65" ht="14.25" customHeight="1" thickBot="1">
      <c r="A4" s="185" t="s">
        <v>409</v>
      </c>
      <c r="B4" s="186"/>
      <c r="C4" s="186"/>
      <c r="D4" s="186"/>
      <c r="E4" s="187"/>
      <c r="F4" s="182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71">
        <f>ROUNDUP(ROW()/4, 0)</f>
        <v>1</v>
      </c>
      <c r="AM4" s="72" t="str">
        <f>"/" &amp; MAX(AL:AL)</f>
        <v>/2</v>
      </c>
      <c r="AN4" s="198"/>
      <c r="AO4" s="198"/>
      <c r="AP4" s="198"/>
      <c r="AQ4" s="198"/>
      <c r="AR4" s="198"/>
      <c r="AS4" s="198"/>
      <c r="AT4" s="192"/>
      <c r="AU4" s="193"/>
      <c r="AV4" s="193"/>
      <c r="AW4" s="193"/>
      <c r="AX4" s="193"/>
      <c r="AY4" s="194"/>
    </row>
    <row r="5" spans="1:65" ht="17.25" customHeight="1">
      <c r="A5" s="205" t="str">
        <f>Translation!N5</f>
        <v>Poste de travail :</v>
      </c>
      <c r="B5" s="206"/>
      <c r="C5" s="206"/>
      <c r="D5" s="206"/>
      <c r="E5" s="206"/>
      <c r="F5" s="81"/>
      <c r="G5" s="85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7"/>
      <c r="AA5" s="80" t="str">
        <f>Translation!N7</f>
        <v>Produit:</v>
      </c>
      <c r="AB5" s="81"/>
      <c r="AC5" s="81"/>
      <c r="AD5" s="81"/>
      <c r="AE5" s="81"/>
      <c r="AF5" s="85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7"/>
    </row>
    <row r="6" spans="1:65" ht="17.25" customHeight="1">
      <c r="A6" s="80" t="str">
        <f>Translation!N6</f>
        <v>Activité:</v>
      </c>
      <c r="B6" s="81"/>
      <c r="C6" s="81"/>
      <c r="D6" s="81"/>
      <c r="E6" s="81"/>
      <c r="F6" s="81"/>
      <c r="G6" s="85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7"/>
    </row>
    <row r="7" spans="1:65" ht="17.25" customHeight="1">
      <c r="A7" s="93" t="str">
        <f>Translation!N8</f>
        <v>Équipement de protection personnel (PPE)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5"/>
    </row>
    <row r="8" spans="1:65" ht="24.75" customHeight="1">
      <c r="A8" s="74" t="str">
        <f>Translation!N9</f>
        <v>Chaussures de sécurité</v>
      </c>
      <c r="B8" s="75"/>
      <c r="C8" s="75"/>
      <c r="D8" s="75"/>
      <c r="E8" s="75"/>
      <c r="F8" s="75"/>
      <c r="G8" s="74" t="str">
        <f>Translation!N10</f>
        <v>Tenue de travail</v>
      </c>
      <c r="H8" s="75"/>
      <c r="I8" s="75"/>
      <c r="J8" s="75"/>
      <c r="K8" s="76"/>
      <c r="L8" s="74" t="str">
        <f>Translation!N11</f>
        <v>Protection de la tête</v>
      </c>
      <c r="M8" s="75"/>
      <c r="N8" s="75"/>
      <c r="O8" s="75"/>
      <c r="P8" s="76"/>
      <c r="Q8" s="74" t="str">
        <f>Translation!N12</f>
        <v>Gants</v>
      </c>
      <c r="R8" s="75"/>
      <c r="S8" s="75"/>
      <c r="T8" s="75"/>
      <c r="U8" s="76"/>
      <c r="V8" s="74" t="str">
        <f>Translation!N13</f>
        <v>Gilet</v>
      </c>
      <c r="W8" s="75"/>
      <c r="X8" s="75"/>
      <c r="Y8" s="75"/>
      <c r="Z8" s="76"/>
      <c r="AA8" s="74" t="str">
        <f>Translation!N14</f>
        <v>Lunettes</v>
      </c>
      <c r="AB8" s="75"/>
      <c r="AC8" s="75"/>
      <c r="AD8" s="75"/>
      <c r="AE8" s="76"/>
      <c r="AF8" s="74" t="str">
        <f>Translation!N15</f>
        <v>Protection auditive</v>
      </c>
      <c r="AG8" s="75"/>
      <c r="AH8" s="75"/>
      <c r="AI8" s="75"/>
      <c r="AJ8" s="75"/>
      <c r="AK8" s="74" t="str">
        <f>Translation!N16</f>
        <v>Masque</v>
      </c>
      <c r="AL8" s="75"/>
      <c r="AM8" s="75"/>
      <c r="AN8" s="75"/>
      <c r="AO8" s="76"/>
      <c r="AP8" s="74" t="str">
        <f>Translation!N17</f>
        <v>Matière dangereuse</v>
      </c>
      <c r="AQ8" s="75"/>
      <c r="AR8" s="75"/>
      <c r="AS8" s="75"/>
      <c r="AT8" s="76"/>
      <c r="AU8" s="74" t="str">
        <f>Translation!N18</f>
        <v>Recyclage</v>
      </c>
      <c r="AV8" s="75"/>
      <c r="AW8" s="75"/>
      <c r="AX8" s="75"/>
      <c r="AY8" s="76"/>
    </row>
    <row r="9" spans="1:65" ht="19.5" customHeight="1">
      <c r="A9" s="77">
        <v>2</v>
      </c>
      <c r="B9" s="78"/>
      <c r="C9" s="78"/>
      <c r="D9" s="78"/>
      <c r="E9" s="78"/>
      <c r="F9" s="78"/>
      <c r="G9" s="77"/>
      <c r="H9" s="78"/>
      <c r="I9" s="78"/>
      <c r="J9" s="78"/>
      <c r="K9" s="79"/>
      <c r="L9" s="77"/>
      <c r="M9" s="78"/>
      <c r="N9" s="78"/>
      <c r="O9" s="78"/>
      <c r="P9" s="79"/>
      <c r="Q9" s="77"/>
      <c r="R9" s="78"/>
      <c r="S9" s="78"/>
      <c r="T9" s="78"/>
      <c r="U9" s="79"/>
      <c r="V9" s="77"/>
      <c r="W9" s="78"/>
      <c r="X9" s="78"/>
      <c r="Y9" s="78"/>
      <c r="Z9" s="79"/>
      <c r="AA9" s="77"/>
      <c r="AB9" s="78"/>
      <c r="AC9" s="78"/>
      <c r="AD9" s="78"/>
      <c r="AE9" s="79"/>
      <c r="AF9" s="77"/>
      <c r="AG9" s="78"/>
      <c r="AH9" s="78"/>
      <c r="AI9" s="78"/>
      <c r="AJ9" s="78"/>
      <c r="AK9" s="77"/>
      <c r="AL9" s="78"/>
      <c r="AM9" s="78"/>
      <c r="AN9" s="78"/>
      <c r="AO9" s="79"/>
      <c r="AP9" s="77"/>
      <c r="AQ9" s="78"/>
      <c r="AR9" s="78"/>
      <c r="AS9" s="78"/>
      <c r="AT9" s="79"/>
      <c r="AU9" s="77"/>
      <c r="AV9" s="78"/>
      <c r="AW9" s="78"/>
      <c r="AX9" s="78"/>
      <c r="AY9" s="79"/>
    </row>
    <row r="10" spans="1:65" ht="19.5" customHeight="1">
      <c r="A10" s="77"/>
      <c r="B10" s="78"/>
      <c r="C10" s="78"/>
      <c r="D10" s="78"/>
      <c r="E10" s="78"/>
      <c r="F10" s="78"/>
      <c r="G10" s="77"/>
      <c r="H10" s="78"/>
      <c r="I10" s="78"/>
      <c r="J10" s="78"/>
      <c r="K10" s="79"/>
      <c r="L10" s="77"/>
      <c r="M10" s="78"/>
      <c r="N10" s="78"/>
      <c r="O10" s="78"/>
      <c r="P10" s="79"/>
      <c r="Q10" s="77"/>
      <c r="R10" s="78"/>
      <c r="S10" s="78"/>
      <c r="T10" s="78"/>
      <c r="U10" s="79"/>
      <c r="V10" s="77"/>
      <c r="W10" s="78"/>
      <c r="X10" s="78"/>
      <c r="Y10" s="78"/>
      <c r="Z10" s="79"/>
      <c r="AA10" s="77"/>
      <c r="AB10" s="78"/>
      <c r="AC10" s="78"/>
      <c r="AD10" s="78"/>
      <c r="AE10" s="79"/>
      <c r="AF10" s="77"/>
      <c r="AG10" s="78"/>
      <c r="AH10" s="78"/>
      <c r="AI10" s="78"/>
      <c r="AJ10" s="78"/>
      <c r="AK10" s="77"/>
      <c r="AL10" s="78"/>
      <c r="AM10" s="78"/>
      <c r="AN10" s="78"/>
      <c r="AO10" s="79"/>
      <c r="AP10" s="77"/>
      <c r="AQ10" s="78"/>
      <c r="AR10" s="78"/>
      <c r="AS10" s="78"/>
      <c r="AT10" s="79"/>
      <c r="AU10" s="77"/>
      <c r="AV10" s="78"/>
      <c r="AW10" s="78"/>
      <c r="AX10" s="78"/>
      <c r="AY10" s="79"/>
    </row>
    <row r="11" spans="1:65" ht="19.5" customHeight="1">
      <c r="A11" s="77"/>
      <c r="B11" s="78"/>
      <c r="C11" s="78"/>
      <c r="D11" s="78"/>
      <c r="E11" s="78"/>
      <c r="F11" s="78"/>
      <c r="G11" s="77"/>
      <c r="H11" s="78"/>
      <c r="I11" s="78"/>
      <c r="J11" s="78"/>
      <c r="K11" s="79"/>
      <c r="L11" s="77"/>
      <c r="M11" s="78"/>
      <c r="N11" s="78"/>
      <c r="O11" s="78"/>
      <c r="P11" s="79"/>
      <c r="Q11" s="77"/>
      <c r="R11" s="78"/>
      <c r="S11" s="78"/>
      <c r="T11" s="78"/>
      <c r="U11" s="79"/>
      <c r="V11" s="77"/>
      <c r="W11" s="78"/>
      <c r="X11" s="78"/>
      <c r="Y11" s="78"/>
      <c r="Z11" s="79"/>
      <c r="AA11" s="77"/>
      <c r="AB11" s="78"/>
      <c r="AC11" s="78"/>
      <c r="AD11" s="78"/>
      <c r="AE11" s="79"/>
      <c r="AF11" s="77"/>
      <c r="AG11" s="78"/>
      <c r="AH11" s="78"/>
      <c r="AI11" s="78"/>
      <c r="AJ11" s="78"/>
      <c r="AK11" s="77"/>
      <c r="AL11" s="78"/>
      <c r="AM11" s="78"/>
      <c r="AN11" s="78"/>
      <c r="AO11" s="79"/>
      <c r="AP11" s="77"/>
      <c r="AQ11" s="78"/>
      <c r="AR11" s="78"/>
      <c r="AS11" s="78"/>
      <c r="AT11" s="79"/>
      <c r="AU11" s="77"/>
      <c r="AV11" s="78"/>
      <c r="AW11" s="78"/>
      <c r="AX11" s="78"/>
      <c r="AY11" s="79"/>
    </row>
    <row r="12" spans="1:65" ht="19.5" customHeight="1">
      <c r="A12" s="82"/>
      <c r="B12" s="83"/>
      <c r="C12" s="83"/>
      <c r="D12" s="83"/>
      <c r="E12" s="83"/>
      <c r="F12" s="83"/>
      <c r="G12" s="82"/>
      <c r="H12" s="83"/>
      <c r="I12" s="83"/>
      <c r="J12" s="83"/>
      <c r="K12" s="84"/>
      <c r="L12" s="82"/>
      <c r="M12" s="83"/>
      <c r="N12" s="83"/>
      <c r="O12" s="83"/>
      <c r="P12" s="84"/>
      <c r="Q12" s="82"/>
      <c r="R12" s="83"/>
      <c r="S12" s="83"/>
      <c r="T12" s="83"/>
      <c r="U12" s="84"/>
      <c r="V12" s="82"/>
      <c r="W12" s="83"/>
      <c r="X12" s="83"/>
      <c r="Y12" s="83"/>
      <c r="Z12" s="84"/>
      <c r="AA12" s="82"/>
      <c r="AB12" s="83"/>
      <c r="AC12" s="83"/>
      <c r="AD12" s="83"/>
      <c r="AE12" s="84"/>
      <c r="AF12" s="82"/>
      <c r="AG12" s="83"/>
      <c r="AH12" s="83"/>
      <c r="AI12" s="83"/>
      <c r="AJ12" s="83"/>
      <c r="AK12" s="82"/>
      <c r="AL12" s="83"/>
      <c r="AM12" s="83"/>
      <c r="AN12" s="83"/>
      <c r="AO12" s="84"/>
      <c r="AP12" s="82"/>
      <c r="AQ12" s="83"/>
      <c r="AR12" s="83"/>
      <c r="AS12" s="83"/>
      <c r="AT12" s="84"/>
      <c r="AU12" s="82"/>
      <c r="AV12" s="83"/>
      <c r="AW12" s="83"/>
      <c r="AX12" s="83"/>
      <c r="AY12" s="84"/>
      <c r="BM12" s="48"/>
    </row>
    <row r="13" spans="1:65" ht="27" customHeight="1">
      <c r="A13" s="107" t="str">
        <f>Translation!N19</f>
        <v>Qu'est-ce qui est interdit et pourquoi ? Comment réagir ?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9"/>
      <c r="AP13" s="80" t="str">
        <f>Translation!N20</f>
        <v>Panoply:</v>
      </c>
      <c r="AQ13" s="81"/>
      <c r="AR13" s="81"/>
      <c r="AS13" s="81"/>
      <c r="AT13" s="81"/>
      <c r="AU13" s="49"/>
      <c r="AV13" s="68" t="str">
        <f>Translation!N22</f>
        <v>Oui</v>
      </c>
      <c r="AW13" s="49"/>
      <c r="AX13" s="68" t="str">
        <f>Translation!N23</f>
        <v>Non</v>
      </c>
      <c r="AY13" s="50"/>
    </row>
    <row r="14" spans="1:65" ht="22.5" customHeight="1">
      <c r="A14" s="51"/>
      <c r="B14" s="52"/>
      <c r="C14" s="52"/>
      <c r="D14" s="52"/>
      <c r="E14" s="52"/>
      <c r="F14" s="53"/>
      <c r="G14" s="53"/>
      <c r="H14" s="53"/>
      <c r="I14" s="5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4"/>
      <c r="AP14" s="80" t="str">
        <f>Translation!N21</f>
        <v>Piece zone:</v>
      </c>
      <c r="AQ14" s="81"/>
      <c r="AR14" s="81"/>
      <c r="AS14" s="81"/>
      <c r="AT14" s="81"/>
      <c r="AU14" s="49"/>
      <c r="AV14" s="68" t="str">
        <f>Translation!N22</f>
        <v>Oui</v>
      </c>
      <c r="AW14" s="49"/>
      <c r="AX14" s="68" t="str">
        <f>Translation!N23</f>
        <v>Non</v>
      </c>
      <c r="AY14" s="50"/>
    </row>
    <row r="15" spans="1:65" ht="19.5" customHeight="1">
      <c r="A15" s="51">
        <v>3</v>
      </c>
      <c r="B15" s="52"/>
      <c r="C15" s="52"/>
      <c r="D15" s="52"/>
      <c r="E15" s="52"/>
      <c r="F15" s="53"/>
      <c r="G15" s="53"/>
      <c r="H15" s="53"/>
      <c r="I15" s="53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6"/>
      <c r="AP15" s="100" t="str">
        <f>Translation!N24</f>
        <v>Couleurs de zonage :</v>
      </c>
      <c r="AQ15" s="101"/>
      <c r="AR15" s="101"/>
      <c r="AS15" s="101"/>
      <c r="AT15" s="101"/>
      <c r="AU15" s="101"/>
      <c r="AV15" s="101"/>
      <c r="AW15" s="101"/>
      <c r="AX15" s="101"/>
      <c r="AY15" s="102"/>
    </row>
    <row r="16" spans="1:65" ht="19.5" customHeight="1">
      <c r="A16" s="51"/>
      <c r="B16" s="52"/>
      <c r="C16" s="52"/>
      <c r="D16" s="52"/>
      <c r="E16" s="52"/>
      <c r="F16" s="53"/>
      <c r="G16" s="53"/>
      <c r="H16" s="53"/>
      <c r="I16" s="53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6"/>
      <c r="AP16" s="103" t="str">
        <f>Translation!N25</f>
        <v>A - Très visible</v>
      </c>
      <c r="AQ16" s="104"/>
      <c r="AR16" s="104"/>
      <c r="AS16" s="104"/>
      <c r="AT16" s="104"/>
      <c r="AU16" s="118" t="str">
        <f>Translation!N26</f>
        <v>B - Visible</v>
      </c>
      <c r="AV16" s="118"/>
      <c r="AW16" s="118"/>
      <c r="AX16" s="118"/>
      <c r="AY16" s="119"/>
    </row>
    <row r="17" spans="1:51" ht="28.5" customHeight="1">
      <c r="A17" s="54"/>
      <c r="B17" s="55"/>
      <c r="C17" s="55"/>
      <c r="D17" s="55"/>
      <c r="E17" s="55"/>
      <c r="F17" s="56"/>
      <c r="G17" s="56"/>
      <c r="H17" s="56"/>
      <c r="I17" s="56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  <c r="AD17" s="211"/>
      <c r="AE17" s="211"/>
      <c r="AF17" s="211"/>
      <c r="AG17" s="211"/>
      <c r="AH17" s="211"/>
      <c r="AI17" s="211"/>
      <c r="AJ17" s="211"/>
      <c r="AK17" s="211"/>
      <c r="AL17" s="211"/>
      <c r="AM17" s="211"/>
      <c r="AN17" s="211"/>
      <c r="AO17" s="212"/>
      <c r="AP17" s="213" t="str">
        <f>Translation!N27</f>
        <v>C - Peut-être visible</v>
      </c>
      <c r="AQ17" s="214"/>
      <c r="AR17" s="214"/>
      <c r="AS17" s="214"/>
      <c r="AT17" s="214"/>
      <c r="AU17" s="105" t="str">
        <f>Translation!N28</f>
        <v>D - Invisible</v>
      </c>
      <c r="AV17" s="105"/>
      <c r="AW17" s="105"/>
      <c r="AX17" s="105"/>
      <c r="AY17" s="106"/>
    </row>
    <row r="18" spans="1:51" ht="19.5" customHeight="1">
      <c r="A18" s="107" t="str">
        <f>Translation!N29</f>
        <v>Produits et outils utilisés (rajouter les référence)</v>
      </c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9"/>
    </row>
    <row r="19" spans="1:51" ht="19.5" customHeight="1">
      <c r="A19" s="51">
        <v>4</v>
      </c>
      <c r="B19" s="52"/>
      <c r="C19" s="52"/>
      <c r="D19" s="52"/>
      <c r="E19" s="52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7"/>
    </row>
    <row r="20" spans="1:51" ht="19.5" customHeight="1">
      <c r="A20" s="51"/>
      <c r="B20" s="52"/>
      <c r="C20" s="52"/>
      <c r="D20" s="52"/>
      <c r="E20" s="52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8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8"/>
      <c r="AP20" s="53"/>
      <c r="AQ20" s="53"/>
      <c r="AR20" s="53"/>
      <c r="AS20" s="53"/>
      <c r="AT20" s="53"/>
      <c r="AU20" s="53"/>
      <c r="AV20" s="53"/>
      <c r="AW20" s="53"/>
      <c r="AX20" s="53"/>
      <c r="AY20" s="57"/>
    </row>
    <row r="21" spans="1:51" ht="19.5" customHeight="1">
      <c r="A21" s="51"/>
      <c r="B21" s="52"/>
      <c r="C21" s="52"/>
      <c r="D21" s="52"/>
      <c r="E21" s="52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8"/>
      <c r="AC21" s="53"/>
      <c r="AD21" s="53"/>
      <c r="AE21" s="53"/>
      <c r="AF21" s="53"/>
      <c r="AG21" s="53"/>
      <c r="AH21" s="53"/>
      <c r="AI21" s="53"/>
      <c r="AJ21" s="53"/>
      <c r="AO21" s="58"/>
      <c r="AP21" s="53"/>
      <c r="AQ21" s="53"/>
      <c r="AR21" s="53"/>
      <c r="AS21" s="53"/>
      <c r="AT21" s="53"/>
      <c r="AU21" s="53"/>
      <c r="AV21" s="53"/>
      <c r="AW21" s="53"/>
      <c r="AX21" s="53"/>
      <c r="AY21" s="57"/>
    </row>
    <row r="22" spans="1:51" ht="19.5" customHeight="1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60"/>
      <c r="AI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7"/>
    </row>
    <row r="23" spans="1:51" ht="19.5" customHeight="1">
      <c r="A23" s="120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57"/>
    </row>
    <row r="24" spans="1:51" ht="19.5" customHeight="1">
      <c r="A24" s="51"/>
      <c r="B24" s="52"/>
      <c r="C24" s="52"/>
      <c r="D24" s="52"/>
      <c r="E24" s="52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7"/>
    </row>
    <row r="25" spans="1:51" ht="19.5" customHeight="1">
      <c r="A25" s="80" t="str">
        <f>Translation!N30</f>
        <v>Pictogrammes utilisés :</v>
      </c>
      <c r="B25" s="81"/>
      <c r="C25" s="81"/>
      <c r="D25" s="81"/>
      <c r="E25" s="81"/>
      <c r="F25" s="81"/>
      <c r="G25" s="81"/>
      <c r="H25" s="81"/>
      <c r="I25" s="207"/>
      <c r="J25" s="61"/>
      <c r="K25" s="101" t="str">
        <f>Translation!N31</f>
        <v>Aspect</v>
      </c>
      <c r="L25" s="101"/>
      <c r="M25" s="101"/>
      <c r="N25" s="101"/>
      <c r="O25" s="102"/>
      <c r="P25" s="61"/>
      <c r="Q25" s="101" t="str">
        <f>Translation!N32</f>
        <v>Tactile</v>
      </c>
      <c r="R25" s="101"/>
      <c r="S25" s="101"/>
      <c r="T25" s="101"/>
      <c r="U25" s="102"/>
      <c r="V25" s="61"/>
      <c r="W25" s="101" t="str">
        <f>Translation!N33</f>
        <v>Bruit</v>
      </c>
      <c r="X25" s="101"/>
      <c r="Y25" s="101"/>
      <c r="Z25" s="101"/>
      <c r="AA25" s="102"/>
      <c r="AB25" s="61"/>
      <c r="AC25" s="101" t="str">
        <f>Translation!N34</f>
        <v>en secouant</v>
      </c>
      <c r="AD25" s="101"/>
      <c r="AE25" s="101"/>
      <c r="AF25" s="101"/>
      <c r="AG25" s="102"/>
      <c r="AH25" s="62"/>
      <c r="AI25" s="215" t="str">
        <f>Translation!N35</f>
        <v>Mesure</v>
      </c>
      <c r="AJ25" s="215"/>
      <c r="AK25" s="215"/>
      <c r="AL25" s="215"/>
      <c r="AM25" s="216"/>
      <c r="AN25" s="61"/>
      <c r="AO25" s="63"/>
      <c r="AP25" s="63"/>
      <c r="AQ25" s="63"/>
      <c r="AR25" s="63"/>
      <c r="AS25" s="64"/>
      <c r="AT25" s="61"/>
      <c r="AU25" s="63"/>
      <c r="AV25" s="63"/>
      <c r="AW25" s="63"/>
      <c r="AX25" s="63"/>
      <c r="AY25" s="64"/>
    </row>
    <row r="26" spans="1:51" ht="19.5" customHeight="1">
      <c r="A26" s="110" t="str">
        <f>Translation!N36</f>
        <v>Caractéristique spéciale (CS) : caractéristique (produit où process) liée à la sécurité ou aux règles légales, fonction de la pièce. Aucun écart autorisé.</v>
      </c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2"/>
    </row>
    <row r="27" spans="1:51" ht="19.5" customHeight="1">
      <c r="A27" s="80" t="str">
        <f>Translation!N37</f>
        <v>Révision :</v>
      </c>
      <c r="B27" s="81"/>
      <c r="C27" s="81"/>
      <c r="D27" s="207"/>
      <c r="E27" s="208" t="s">
        <v>1</v>
      </c>
      <c r="F27" s="209"/>
      <c r="G27" s="210"/>
      <c r="H27" s="80" t="str">
        <f>Translation!N38</f>
        <v>Sujet de révision :</v>
      </c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98" t="str">
        <f>Translation!N40</f>
        <v>Créé par :</v>
      </c>
      <c r="AK27" s="99"/>
      <c r="AL27" s="99"/>
      <c r="AM27" s="99"/>
      <c r="AN27" s="99"/>
      <c r="AO27" s="96"/>
      <c r="AP27" s="96"/>
      <c r="AQ27" s="97"/>
      <c r="AR27" s="98" t="str">
        <f>Translation!N41</f>
        <v>Validé - Production :</v>
      </c>
      <c r="AS27" s="99"/>
      <c r="AT27" s="99"/>
      <c r="AU27" s="99"/>
      <c r="AV27" s="99"/>
      <c r="AW27" s="96"/>
      <c r="AX27" s="96"/>
      <c r="AY27" s="97"/>
    </row>
    <row r="28" spans="1:51" ht="19.5" customHeight="1">
      <c r="A28" s="126">
        <v>0</v>
      </c>
      <c r="B28" s="127"/>
      <c r="C28" s="127"/>
      <c r="D28" s="128"/>
      <c r="E28" s="131"/>
      <c r="F28" s="127"/>
      <c r="G28" s="128"/>
      <c r="H28" s="98" t="str">
        <f>Translation!N39</f>
        <v>Création de documents :</v>
      </c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1" t="str">
        <f>Translation!N44</f>
        <v>Date :</v>
      </c>
      <c r="AK28" s="92"/>
      <c r="AL28" s="92"/>
      <c r="AM28" s="88"/>
      <c r="AN28" s="89"/>
      <c r="AO28" s="89"/>
      <c r="AP28" s="89"/>
      <c r="AQ28" s="90"/>
      <c r="AR28" s="91" t="str">
        <f>Translation!N44</f>
        <v>Date :</v>
      </c>
      <c r="AS28" s="92"/>
      <c r="AT28" s="92"/>
      <c r="AU28" s="88"/>
      <c r="AV28" s="89"/>
      <c r="AW28" s="89"/>
      <c r="AX28" s="89"/>
      <c r="AY28" s="90"/>
    </row>
    <row r="29" spans="1:51" ht="19.5" customHeight="1">
      <c r="A29" s="126"/>
      <c r="B29" s="127"/>
      <c r="C29" s="127"/>
      <c r="D29" s="128"/>
      <c r="E29" s="126"/>
      <c r="F29" s="127"/>
      <c r="G29" s="128"/>
      <c r="H29" s="132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47" t="str">
        <f>Translation!N45</f>
        <v>Signature :</v>
      </c>
      <c r="AK29" s="148"/>
      <c r="AL29" s="148"/>
      <c r="AM29" s="124"/>
      <c r="AN29" s="124"/>
      <c r="AO29" s="124"/>
      <c r="AP29" s="124"/>
      <c r="AQ29" s="125"/>
      <c r="AR29" s="147" t="str">
        <f>Translation!N45</f>
        <v>Signature :</v>
      </c>
      <c r="AS29" s="148"/>
      <c r="AT29" s="148"/>
      <c r="AU29" s="124"/>
      <c r="AV29" s="124"/>
      <c r="AW29" s="124"/>
      <c r="AX29" s="124"/>
      <c r="AY29" s="125"/>
    </row>
    <row r="30" spans="1:51" ht="19.5" customHeight="1">
      <c r="A30" s="126"/>
      <c r="B30" s="127"/>
      <c r="C30" s="127"/>
      <c r="D30" s="128"/>
      <c r="E30" s="126"/>
      <c r="F30" s="127"/>
      <c r="G30" s="128"/>
      <c r="H30" s="132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98" t="str">
        <f>Translation!N42</f>
        <v>Validé - Qualité :</v>
      </c>
      <c r="AK30" s="99"/>
      <c r="AL30" s="99"/>
      <c r="AM30" s="99"/>
      <c r="AN30" s="99"/>
      <c r="AO30" s="96"/>
      <c r="AP30" s="96"/>
      <c r="AQ30" s="97"/>
      <c r="AR30" s="132" t="str">
        <f xml:space="preserve"> Translation!N43</f>
        <v>Validé - HSE :</v>
      </c>
      <c r="AS30" s="133"/>
      <c r="AT30" s="133"/>
      <c r="AU30" s="133"/>
      <c r="AV30" s="133"/>
      <c r="AW30" s="96"/>
      <c r="AX30" s="96"/>
      <c r="AY30" s="97"/>
    </row>
    <row r="31" spans="1:51" ht="18.75" customHeight="1">
      <c r="A31" s="126"/>
      <c r="B31" s="127"/>
      <c r="C31" s="127"/>
      <c r="D31" s="128"/>
      <c r="E31" s="126"/>
      <c r="F31" s="127"/>
      <c r="G31" s="128"/>
      <c r="H31" s="132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91" t="str">
        <f>Translation!N44</f>
        <v>Date :</v>
      </c>
      <c r="AK31" s="92"/>
      <c r="AL31" s="92"/>
      <c r="AM31" s="88"/>
      <c r="AN31" s="89"/>
      <c r="AO31" s="89"/>
      <c r="AP31" s="89"/>
      <c r="AQ31" s="90"/>
      <c r="AR31" s="134" t="str">
        <f xml:space="preserve"> Translation!N44</f>
        <v>Date :</v>
      </c>
      <c r="AS31" s="135"/>
      <c r="AT31" s="135"/>
      <c r="AU31" s="88"/>
      <c r="AV31" s="89"/>
      <c r="AW31" s="89"/>
      <c r="AX31" s="89"/>
      <c r="AY31" s="90"/>
    </row>
    <row r="32" spans="1:51" ht="18.75" customHeight="1" thickBot="1">
      <c r="A32" s="121"/>
      <c r="B32" s="122"/>
      <c r="C32" s="122"/>
      <c r="D32" s="123"/>
      <c r="E32" s="121"/>
      <c r="F32" s="122"/>
      <c r="G32" s="123"/>
      <c r="H32" s="129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47" t="str">
        <f>Translation!N45</f>
        <v>Signature :</v>
      </c>
      <c r="AK32" s="148"/>
      <c r="AL32" s="148"/>
      <c r="AM32" s="124"/>
      <c r="AN32" s="124"/>
      <c r="AO32" s="124"/>
      <c r="AP32" s="124"/>
      <c r="AQ32" s="125"/>
      <c r="AR32" s="136" t="str">
        <f xml:space="preserve"> Translation!N45</f>
        <v>Signature :</v>
      </c>
      <c r="AS32" s="137"/>
      <c r="AT32" s="137"/>
      <c r="AU32" s="124"/>
      <c r="AV32" s="124"/>
      <c r="AW32" s="124"/>
      <c r="AX32" s="124"/>
      <c r="AY32" s="125"/>
    </row>
    <row r="33" spans="1:51" ht="12.75" customHeight="1">
      <c r="A33" s="172"/>
      <c r="B33" s="173"/>
      <c r="C33" s="173"/>
      <c r="D33" s="173"/>
      <c r="E33" s="174"/>
      <c r="F33" s="178" t="str">
        <f>F$1</f>
        <v>STANDARD OPERATION SHEET
 ANALYSIS (SOS-A)</v>
      </c>
      <c r="G33" s="179"/>
      <c r="H33" s="179"/>
      <c r="I33" s="179"/>
      <c r="J33" s="179" t="str">
        <f>F1</f>
        <v>STANDARD OPERATION SHEET
 ANALYSIS (SOS-A)</v>
      </c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43"/>
      <c r="AM33" s="44"/>
      <c r="AN33" s="189" t="s">
        <v>0</v>
      </c>
      <c r="AO33" s="190"/>
      <c r="AP33" s="190"/>
      <c r="AQ33" s="190"/>
      <c r="AR33" s="190"/>
      <c r="AS33" s="191"/>
      <c r="AT33" s="138"/>
      <c r="AU33" s="139"/>
      <c r="AV33" s="139"/>
      <c r="AW33" s="139"/>
      <c r="AX33" s="139"/>
      <c r="AY33" s="140"/>
    </row>
    <row r="34" spans="1:51" ht="12.75" customHeight="1">
      <c r="A34" s="175"/>
      <c r="B34" s="176"/>
      <c r="C34" s="176"/>
      <c r="D34" s="176"/>
      <c r="E34" s="177"/>
      <c r="F34" s="180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81"/>
      <c r="AL34" s="46"/>
      <c r="AM34" s="47"/>
      <c r="AN34" s="192"/>
      <c r="AO34" s="193"/>
      <c r="AP34" s="193"/>
      <c r="AQ34" s="193"/>
      <c r="AR34" s="193"/>
      <c r="AS34" s="194"/>
      <c r="AT34" s="141"/>
      <c r="AU34" s="142"/>
      <c r="AV34" s="142"/>
      <c r="AW34" s="142"/>
      <c r="AX34" s="142"/>
      <c r="AY34" s="143"/>
    </row>
    <row r="35" spans="1:51" ht="14.25" customHeight="1">
      <c r="A35" s="175"/>
      <c r="B35" s="176"/>
      <c r="C35" s="176"/>
      <c r="D35" s="176"/>
      <c r="E35" s="177"/>
      <c r="F35" s="180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  <c r="AK35" s="181"/>
      <c r="AL35" s="46"/>
      <c r="AM35" s="47"/>
      <c r="AN35" s="184" t="str">
        <f>IF($AN$3=0,"",$AN$3)</f>
        <v/>
      </c>
      <c r="AO35" s="184"/>
      <c r="AP35" s="184"/>
      <c r="AQ35" s="184"/>
      <c r="AR35" s="184"/>
      <c r="AS35" s="184"/>
      <c r="AT35" s="141"/>
      <c r="AU35" s="142"/>
      <c r="AV35" s="142"/>
      <c r="AW35" s="142"/>
      <c r="AX35" s="142"/>
      <c r="AY35" s="143"/>
    </row>
    <row r="36" spans="1:51" ht="14.25" customHeight="1" thickBot="1">
      <c r="A36" s="185" t="str">
        <f>A$4</f>
        <v>FOR-054-Multi-J</v>
      </c>
      <c r="B36" s="186"/>
      <c r="C36" s="186"/>
      <c r="D36" s="186"/>
      <c r="E36" s="187"/>
      <c r="F36" s="182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71">
        <f>ROUNDUP((ROW()/33), 0)</f>
        <v>2</v>
      </c>
      <c r="AM36" s="72" t="str">
        <f>"/" &amp; MAX(AL:AL)</f>
        <v>/2</v>
      </c>
      <c r="AN36" s="188" t="str">
        <f>IF($AN$4=0,"",$AN$4)</f>
        <v/>
      </c>
      <c r="AO36" s="188"/>
      <c r="AP36" s="188"/>
      <c r="AQ36" s="188"/>
      <c r="AR36" s="188"/>
      <c r="AS36" s="188"/>
      <c r="AT36" s="144"/>
      <c r="AU36" s="145"/>
      <c r="AV36" s="145"/>
      <c r="AW36" s="145"/>
      <c r="AX36" s="145"/>
      <c r="AY36" s="146"/>
    </row>
    <row r="37" spans="1:51" ht="17.25" customHeight="1">
      <c r="A37" s="80" t="str">
        <f>A$5</f>
        <v>Poste de travail :</v>
      </c>
      <c r="B37" s="81"/>
      <c r="C37" s="81"/>
      <c r="D37" s="81"/>
      <c r="E37" s="81"/>
      <c r="F37" s="81"/>
      <c r="G37" s="149" t="str">
        <f>IF($G$5=0,"",$G$5)</f>
        <v/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1"/>
      <c r="AA37" s="80" t="str">
        <f>AA$5</f>
        <v>Produit:</v>
      </c>
      <c r="AB37" s="81"/>
      <c r="AC37" s="81"/>
      <c r="AD37" s="81"/>
      <c r="AE37" s="81"/>
      <c r="AF37" s="149" t="str">
        <f>IF($AF$5=0,"",$AF$5)</f>
        <v/>
      </c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1"/>
    </row>
    <row r="38" spans="1:51" ht="17.25" customHeight="1">
      <c r="A38" s="80" t="str">
        <f>A$6</f>
        <v>Activité:</v>
      </c>
      <c r="B38" s="81"/>
      <c r="C38" s="81"/>
      <c r="D38" s="81"/>
      <c r="E38" s="81"/>
      <c r="F38" s="81"/>
      <c r="G38" s="149" t="str">
        <f>IF($G$6=0,"",$G$6)</f>
        <v/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1"/>
    </row>
    <row r="39" spans="1:51" ht="23.45" customHeight="1">
      <c r="A39" s="167" t="str">
        <f>Translation!N$46</f>
        <v>N° Etape Principale :</v>
      </c>
      <c r="B39" s="167"/>
      <c r="C39" s="167"/>
      <c r="D39" s="168" t="str">
        <f>Translation!N$47</f>
        <v>CP/CS :</v>
      </c>
      <c r="E39" s="168"/>
      <c r="F39" s="93" t="str">
        <f>Translation!N$48</f>
        <v>Description du mode opératoire: avec détails écrit</v>
      </c>
      <c r="G39" s="94"/>
      <c r="H39" s="94"/>
      <c r="I39" s="94"/>
      <c r="J39" s="94"/>
      <c r="K39" s="94"/>
      <c r="L39" s="94"/>
      <c r="M39" s="94"/>
      <c r="N39" s="95"/>
      <c r="O39" s="93" t="str">
        <f>Translation!N$49</f>
        <v>Complément du mode opératoire:
avec photos si besoin</v>
      </c>
      <c r="P39" s="94"/>
      <c r="Q39" s="94"/>
      <c r="R39" s="94"/>
      <c r="S39" s="94"/>
      <c r="T39" s="94"/>
      <c r="U39" s="94"/>
      <c r="V39" s="94"/>
      <c r="W39" s="95"/>
      <c r="X39" s="93" t="str">
        <f>Translation!N$50</f>
        <v>Étapes principales</v>
      </c>
      <c r="Y39" s="94"/>
      <c r="Z39" s="94"/>
      <c r="AA39" s="94"/>
      <c r="AB39" s="94"/>
      <c r="AC39" s="94"/>
      <c r="AD39" s="94"/>
      <c r="AE39" s="94"/>
      <c r="AF39" s="94"/>
      <c r="AG39" s="73" t="str">
        <f>Translation!N$51</f>
        <v>T/C</v>
      </c>
      <c r="AH39" s="93" t="str">
        <f>Translation!N$52</f>
        <v>Points clés (Comment ?)</v>
      </c>
      <c r="AI39" s="94"/>
      <c r="AJ39" s="94"/>
      <c r="AK39" s="94"/>
      <c r="AL39" s="94"/>
      <c r="AM39" s="94"/>
      <c r="AN39" s="94"/>
      <c r="AO39" s="94"/>
      <c r="AP39" s="95"/>
      <c r="AQ39" s="93" t="str">
        <f>Translation!N$53</f>
        <v>Raison du point clé (Pourquoi ?) : en photos ou schéma et OK/NOK si possible</v>
      </c>
      <c r="AR39" s="94"/>
      <c r="AS39" s="94"/>
      <c r="AT39" s="94"/>
      <c r="AU39" s="94"/>
      <c r="AV39" s="94"/>
      <c r="AW39" s="94"/>
      <c r="AX39" s="94"/>
      <c r="AY39" s="95"/>
    </row>
    <row r="40" spans="1:51" ht="18.75" customHeight="1">
      <c r="A40" s="159"/>
      <c r="B40" s="160"/>
      <c r="C40" s="161"/>
      <c r="D40" s="152"/>
      <c r="E40" s="154"/>
      <c r="F40" s="152"/>
      <c r="G40" s="153"/>
      <c r="H40" s="153"/>
      <c r="I40" s="153"/>
      <c r="J40" s="153"/>
      <c r="K40" s="153"/>
      <c r="L40" s="153"/>
      <c r="M40" s="153"/>
      <c r="N40" s="154"/>
      <c r="O40" s="152"/>
      <c r="P40" s="153"/>
      <c r="Q40" s="153"/>
      <c r="R40" s="153"/>
      <c r="S40" s="153"/>
      <c r="T40" s="153"/>
      <c r="U40" s="153"/>
      <c r="V40" s="153"/>
      <c r="W40" s="154"/>
      <c r="X40" s="152"/>
      <c r="Y40" s="153"/>
      <c r="Z40" s="153"/>
      <c r="AA40" s="153"/>
      <c r="AB40" s="153"/>
      <c r="AC40" s="153"/>
      <c r="AD40" s="153"/>
      <c r="AE40" s="153"/>
      <c r="AF40" s="154"/>
      <c r="AG40" s="65"/>
      <c r="AH40" s="152"/>
      <c r="AI40" s="153"/>
      <c r="AJ40" s="153"/>
      <c r="AK40" s="153"/>
      <c r="AL40" s="153"/>
      <c r="AM40" s="153"/>
      <c r="AN40" s="153"/>
      <c r="AO40" s="153"/>
      <c r="AP40" s="154"/>
      <c r="AQ40" s="152"/>
      <c r="AR40" s="153"/>
      <c r="AS40" s="153"/>
      <c r="AT40" s="153"/>
      <c r="AU40" s="153"/>
      <c r="AV40" s="153"/>
      <c r="AW40" s="153"/>
      <c r="AX40" s="153"/>
      <c r="AY40" s="154"/>
    </row>
    <row r="41" spans="1:51" ht="18.75" customHeight="1">
      <c r="A41" s="77"/>
      <c r="B41" s="78"/>
      <c r="C41" s="79"/>
      <c r="D41" s="126"/>
      <c r="E41" s="128"/>
      <c r="F41" s="126"/>
      <c r="G41" s="127"/>
      <c r="H41" s="127"/>
      <c r="I41" s="127"/>
      <c r="J41" s="127"/>
      <c r="K41" s="127"/>
      <c r="L41" s="127"/>
      <c r="M41" s="127"/>
      <c r="N41" s="128"/>
      <c r="O41" s="126"/>
      <c r="P41" s="127"/>
      <c r="Q41" s="127"/>
      <c r="R41" s="127"/>
      <c r="S41" s="127"/>
      <c r="T41" s="127"/>
      <c r="U41" s="127"/>
      <c r="V41" s="127"/>
      <c r="W41" s="128"/>
      <c r="X41" s="126"/>
      <c r="Y41" s="127"/>
      <c r="Z41" s="127"/>
      <c r="AA41" s="127"/>
      <c r="AB41" s="127"/>
      <c r="AC41" s="127"/>
      <c r="AD41" s="127"/>
      <c r="AE41" s="127"/>
      <c r="AF41" s="128"/>
      <c r="AG41" s="66"/>
      <c r="AH41" s="126"/>
      <c r="AI41" s="127"/>
      <c r="AJ41" s="127"/>
      <c r="AK41" s="127"/>
      <c r="AL41" s="127"/>
      <c r="AM41" s="127"/>
      <c r="AN41" s="127"/>
      <c r="AO41" s="127"/>
      <c r="AP41" s="128"/>
      <c r="AQ41" s="126"/>
      <c r="AR41" s="127"/>
      <c r="AS41" s="127"/>
      <c r="AT41" s="127"/>
      <c r="AU41" s="127"/>
      <c r="AV41" s="127"/>
      <c r="AW41" s="127"/>
      <c r="AX41" s="127"/>
      <c r="AY41" s="128"/>
    </row>
    <row r="42" spans="1:51" ht="18.75" customHeight="1">
      <c r="A42" s="77"/>
      <c r="B42" s="78"/>
      <c r="C42" s="79"/>
      <c r="D42" s="126"/>
      <c r="E42" s="128"/>
      <c r="F42" s="126"/>
      <c r="G42" s="127"/>
      <c r="H42" s="127"/>
      <c r="I42" s="127"/>
      <c r="J42" s="127"/>
      <c r="K42" s="127"/>
      <c r="L42" s="127"/>
      <c r="M42" s="127"/>
      <c r="N42" s="128"/>
      <c r="O42" s="126"/>
      <c r="P42" s="127"/>
      <c r="Q42" s="127"/>
      <c r="R42" s="127"/>
      <c r="S42" s="127"/>
      <c r="T42" s="127"/>
      <c r="U42" s="127"/>
      <c r="V42" s="127"/>
      <c r="W42" s="128"/>
      <c r="X42" s="126"/>
      <c r="Y42" s="127"/>
      <c r="Z42" s="127"/>
      <c r="AA42" s="127"/>
      <c r="AB42" s="127"/>
      <c r="AC42" s="127"/>
      <c r="AD42" s="127"/>
      <c r="AE42" s="127"/>
      <c r="AF42" s="128"/>
      <c r="AG42" s="66"/>
      <c r="AH42" s="126"/>
      <c r="AI42" s="127"/>
      <c r="AJ42" s="127"/>
      <c r="AK42" s="127"/>
      <c r="AL42" s="127"/>
      <c r="AM42" s="127"/>
      <c r="AN42" s="127"/>
      <c r="AO42" s="127"/>
      <c r="AP42" s="128"/>
      <c r="AQ42" s="126"/>
      <c r="AR42" s="127"/>
      <c r="AS42" s="127"/>
      <c r="AT42" s="127"/>
      <c r="AU42" s="127"/>
      <c r="AV42" s="127"/>
      <c r="AW42" s="127"/>
      <c r="AX42" s="127"/>
      <c r="AY42" s="128"/>
    </row>
    <row r="43" spans="1:51" ht="18.600000000000001" customHeight="1">
      <c r="A43" s="77"/>
      <c r="B43" s="78"/>
      <c r="C43" s="79"/>
      <c r="D43" s="126"/>
      <c r="E43" s="128"/>
      <c r="F43" s="126"/>
      <c r="G43" s="127"/>
      <c r="H43" s="127"/>
      <c r="I43" s="127"/>
      <c r="J43" s="127"/>
      <c r="K43" s="127"/>
      <c r="L43" s="127"/>
      <c r="M43" s="127"/>
      <c r="N43" s="128"/>
      <c r="O43" s="126"/>
      <c r="P43" s="127"/>
      <c r="Q43" s="127"/>
      <c r="R43" s="127"/>
      <c r="S43" s="127"/>
      <c r="T43" s="127"/>
      <c r="U43" s="127"/>
      <c r="V43" s="127"/>
      <c r="W43" s="128"/>
      <c r="X43" s="126"/>
      <c r="Y43" s="127"/>
      <c r="Z43" s="127"/>
      <c r="AA43" s="127"/>
      <c r="AB43" s="127"/>
      <c r="AC43" s="127"/>
      <c r="AD43" s="127"/>
      <c r="AE43" s="127"/>
      <c r="AF43" s="128"/>
      <c r="AG43" s="66"/>
      <c r="AH43" s="126"/>
      <c r="AI43" s="127"/>
      <c r="AJ43" s="127"/>
      <c r="AK43" s="127"/>
      <c r="AL43" s="127"/>
      <c r="AM43" s="127"/>
      <c r="AN43" s="127"/>
      <c r="AO43" s="127"/>
      <c r="AP43" s="128"/>
      <c r="AQ43" s="126"/>
      <c r="AR43" s="127"/>
      <c r="AS43" s="127"/>
      <c r="AT43" s="127"/>
      <c r="AU43" s="127"/>
      <c r="AV43" s="127"/>
      <c r="AW43" s="127"/>
      <c r="AX43" s="127"/>
      <c r="AY43" s="128"/>
    </row>
    <row r="44" spans="1:51" ht="18.75" customHeight="1">
      <c r="A44" s="77"/>
      <c r="B44" s="78"/>
      <c r="C44" s="79"/>
      <c r="D44" s="126"/>
      <c r="E44" s="128"/>
      <c r="F44" s="126"/>
      <c r="G44" s="127"/>
      <c r="H44" s="127"/>
      <c r="I44" s="127"/>
      <c r="J44" s="127"/>
      <c r="K44" s="127"/>
      <c r="L44" s="127"/>
      <c r="M44" s="127"/>
      <c r="N44" s="128"/>
      <c r="O44" s="126"/>
      <c r="P44" s="127"/>
      <c r="Q44" s="127"/>
      <c r="R44" s="127"/>
      <c r="S44" s="127"/>
      <c r="T44" s="127"/>
      <c r="U44" s="127"/>
      <c r="V44" s="127"/>
      <c r="W44" s="128"/>
      <c r="X44" s="126"/>
      <c r="Y44" s="127"/>
      <c r="Z44" s="127"/>
      <c r="AA44" s="127"/>
      <c r="AB44" s="127"/>
      <c r="AC44" s="127"/>
      <c r="AD44" s="127"/>
      <c r="AE44" s="127"/>
      <c r="AF44" s="128"/>
      <c r="AG44" s="66"/>
      <c r="AH44" s="126"/>
      <c r="AI44" s="127"/>
      <c r="AJ44" s="127"/>
      <c r="AK44" s="127"/>
      <c r="AL44" s="127"/>
      <c r="AM44" s="127"/>
      <c r="AN44" s="127"/>
      <c r="AO44" s="127"/>
      <c r="AP44" s="128"/>
      <c r="AQ44" s="126"/>
      <c r="AR44" s="127"/>
      <c r="AS44" s="127"/>
      <c r="AT44" s="127"/>
      <c r="AU44" s="127"/>
      <c r="AV44" s="127"/>
      <c r="AW44" s="127"/>
      <c r="AX44" s="127"/>
      <c r="AY44" s="128"/>
    </row>
    <row r="45" spans="1:51" ht="18.75" customHeight="1">
      <c r="A45" s="77"/>
      <c r="B45" s="78"/>
      <c r="C45" s="79"/>
      <c r="D45" s="126"/>
      <c r="E45" s="128"/>
      <c r="F45" s="126"/>
      <c r="G45" s="127"/>
      <c r="H45" s="127"/>
      <c r="I45" s="127"/>
      <c r="J45" s="127"/>
      <c r="K45" s="127"/>
      <c r="L45" s="127"/>
      <c r="M45" s="127"/>
      <c r="N45" s="128"/>
      <c r="O45" s="126"/>
      <c r="P45" s="127"/>
      <c r="Q45" s="127"/>
      <c r="R45" s="127"/>
      <c r="S45" s="127"/>
      <c r="T45" s="127"/>
      <c r="U45" s="127"/>
      <c r="V45" s="127"/>
      <c r="W45" s="128"/>
      <c r="X45" s="126"/>
      <c r="Y45" s="127"/>
      <c r="Z45" s="127"/>
      <c r="AA45" s="127"/>
      <c r="AB45" s="127"/>
      <c r="AC45" s="127"/>
      <c r="AD45" s="127"/>
      <c r="AE45" s="127"/>
      <c r="AF45" s="128"/>
      <c r="AG45" s="66"/>
      <c r="AH45" s="126"/>
      <c r="AI45" s="127"/>
      <c r="AJ45" s="127"/>
      <c r="AK45" s="127"/>
      <c r="AL45" s="127"/>
      <c r="AM45" s="127"/>
      <c r="AN45" s="127"/>
      <c r="AO45" s="127"/>
      <c r="AP45" s="128"/>
      <c r="AQ45" s="126"/>
      <c r="AR45" s="127"/>
      <c r="AS45" s="127"/>
      <c r="AT45" s="127"/>
      <c r="AU45" s="127"/>
      <c r="AV45" s="127"/>
      <c r="AW45" s="127"/>
      <c r="AX45" s="127"/>
      <c r="AY45" s="128"/>
    </row>
    <row r="46" spans="1:51" ht="18.75" customHeight="1">
      <c r="A46" s="77"/>
      <c r="B46" s="78"/>
      <c r="C46" s="79"/>
      <c r="D46" s="126"/>
      <c r="E46" s="128"/>
      <c r="F46" s="126"/>
      <c r="G46" s="127"/>
      <c r="H46" s="127"/>
      <c r="I46" s="127"/>
      <c r="J46" s="127"/>
      <c r="K46" s="127"/>
      <c r="L46" s="127"/>
      <c r="M46" s="127"/>
      <c r="N46" s="128"/>
      <c r="O46" s="126"/>
      <c r="P46" s="127"/>
      <c r="Q46" s="127"/>
      <c r="R46" s="127"/>
      <c r="S46" s="127"/>
      <c r="T46" s="127"/>
      <c r="U46" s="127"/>
      <c r="V46" s="127"/>
      <c r="W46" s="128"/>
      <c r="X46" s="126"/>
      <c r="Y46" s="127"/>
      <c r="Z46" s="127"/>
      <c r="AA46" s="127"/>
      <c r="AB46" s="127"/>
      <c r="AC46" s="127"/>
      <c r="AD46" s="127"/>
      <c r="AE46" s="127"/>
      <c r="AF46" s="128"/>
      <c r="AG46" s="66"/>
      <c r="AH46" s="126"/>
      <c r="AI46" s="127"/>
      <c r="AJ46" s="127"/>
      <c r="AK46" s="127"/>
      <c r="AL46" s="127"/>
      <c r="AM46" s="127"/>
      <c r="AN46" s="127"/>
      <c r="AO46" s="127"/>
      <c r="AP46" s="128"/>
      <c r="AQ46" s="126"/>
      <c r="AR46" s="127"/>
      <c r="AS46" s="127"/>
      <c r="AT46" s="127"/>
      <c r="AU46" s="127"/>
      <c r="AV46" s="127"/>
      <c r="AW46" s="127"/>
      <c r="AX46" s="127"/>
      <c r="AY46" s="128"/>
    </row>
    <row r="47" spans="1:51" ht="18.75" customHeight="1">
      <c r="A47" s="77"/>
      <c r="B47" s="78"/>
      <c r="C47" s="79"/>
      <c r="D47" s="126"/>
      <c r="E47" s="128"/>
      <c r="F47" s="126"/>
      <c r="G47" s="127"/>
      <c r="H47" s="127"/>
      <c r="I47" s="127"/>
      <c r="J47" s="127"/>
      <c r="K47" s="127"/>
      <c r="L47" s="127"/>
      <c r="M47" s="127"/>
      <c r="N47" s="128"/>
      <c r="O47" s="126"/>
      <c r="P47" s="127"/>
      <c r="Q47" s="127"/>
      <c r="R47" s="127"/>
      <c r="S47" s="127"/>
      <c r="T47" s="127"/>
      <c r="U47" s="127"/>
      <c r="V47" s="127"/>
      <c r="W47" s="128"/>
      <c r="X47" s="126"/>
      <c r="Y47" s="127"/>
      <c r="Z47" s="127"/>
      <c r="AA47" s="127"/>
      <c r="AB47" s="127"/>
      <c r="AC47" s="127"/>
      <c r="AD47" s="127"/>
      <c r="AE47" s="127"/>
      <c r="AF47" s="128"/>
      <c r="AG47" s="66"/>
      <c r="AH47" s="126"/>
      <c r="AI47" s="127"/>
      <c r="AJ47" s="127"/>
      <c r="AK47" s="127"/>
      <c r="AL47" s="127"/>
      <c r="AM47" s="127"/>
      <c r="AN47" s="127"/>
      <c r="AO47" s="127"/>
      <c r="AP47" s="128"/>
      <c r="AQ47" s="126"/>
      <c r="AR47" s="127"/>
      <c r="AS47" s="127"/>
      <c r="AT47" s="127"/>
      <c r="AU47" s="127"/>
      <c r="AV47" s="127"/>
      <c r="AW47" s="127"/>
      <c r="AX47" s="127"/>
      <c r="AY47" s="128"/>
    </row>
    <row r="48" spans="1:51" ht="18.75" customHeight="1">
      <c r="A48" s="77"/>
      <c r="B48" s="78"/>
      <c r="C48" s="79"/>
      <c r="D48" s="126"/>
      <c r="E48" s="128"/>
      <c r="F48" s="126"/>
      <c r="G48" s="127"/>
      <c r="H48" s="127"/>
      <c r="I48" s="127"/>
      <c r="J48" s="127"/>
      <c r="K48" s="127"/>
      <c r="L48" s="127"/>
      <c r="M48" s="127"/>
      <c r="N48" s="128"/>
      <c r="O48" s="126"/>
      <c r="P48" s="127"/>
      <c r="Q48" s="127"/>
      <c r="R48" s="127"/>
      <c r="S48" s="127"/>
      <c r="T48" s="127"/>
      <c r="U48" s="127"/>
      <c r="V48" s="127"/>
      <c r="W48" s="128"/>
      <c r="X48" s="126"/>
      <c r="Y48" s="127"/>
      <c r="Z48" s="127"/>
      <c r="AA48" s="127"/>
      <c r="AB48" s="127"/>
      <c r="AC48" s="127"/>
      <c r="AD48" s="127"/>
      <c r="AE48" s="127"/>
      <c r="AF48" s="128"/>
      <c r="AG48" s="66"/>
      <c r="AH48" s="126"/>
      <c r="AI48" s="127"/>
      <c r="AJ48" s="127"/>
      <c r="AK48" s="127"/>
      <c r="AL48" s="127"/>
      <c r="AM48" s="127"/>
      <c r="AN48" s="127"/>
      <c r="AO48" s="127"/>
      <c r="AP48" s="128"/>
      <c r="AQ48" s="126"/>
      <c r="AR48" s="127"/>
      <c r="AS48" s="127"/>
      <c r="AT48" s="127"/>
      <c r="AU48" s="127"/>
      <c r="AV48" s="127"/>
      <c r="AW48" s="127"/>
      <c r="AX48" s="127"/>
      <c r="AY48" s="128"/>
    </row>
    <row r="49" spans="1:51" ht="18.75" customHeight="1">
      <c r="A49" s="77"/>
      <c r="B49" s="78"/>
      <c r="C49" s="79"/>
      <c r="D49" s="126"/>
      <c r="E49" s="128"/>
      <c r="F49" s="126"/>
      <c r="G49" s="127"/>
      <c r="H49" s="127"/>
      <c r="I49" s="127"/>
      <c r="J49" s="127"/>
      <c r="K49" s="127"/>
      <c r="L49" s="127"/>
      <c r="M49" s="127"/>
      <c r="N49" s="128"/>
      <c r="O49" s="126"/>
      <c r="P49" s="127"/>
      <c r="Q49" s="127"/>
      <c r="R49" s="127"/>
      <c r="S49" s="127"/>
      <c r="T49" s="127"/>
      <c r="U49" s="127"/>
      <c r="V49" s="127"/>
      <c r="W49" s="128"/>
      <c r="X49" s="126"/>
      <c r="Y49" s="127"/>
      <c r="Z49" s="127"/>
      <c r="AA49" s="127"/>
      <c r="AB49" s="127"/>
      <c r="AC49" s="127"/>
      <c r="AD49" s="127"/>
      <c r="AE49" s="127"/>
      <c r="AF49" s="128"/>
      <c r="AG49" s="66"/>
      <c r="AH49" s="126"/>
      <c r="AI49" s="127"/>
      <c r="AJ49" s="127"/>
      <c r="AK49" s="127"/>
      <c r="AL49" s="127"/>
      <c r="AM49" s="127"/>
      <c r="AN49" s="127"/>
      <c r="AO49" s="127"/>
      <c r="AP49" s="128"/>
      <c r="AQ49" s="126"/>
      <c r="AR49" s="127"/>
      <c r="AS49" s="127"/>
      <c r="AT49" s="127"/>
      <c r="AU49" s="127"/>
      <c r="AV49" s="127"/>
      <c r="AW49" s="127"/>
      <c r="AX49" s="127"/>
      <c r="AY49" s="128"/>
    </row>
    <row r="50" spans="1:51" ht="18.75" customHeight="1">
      <c r="A50" s="77"/>
      <c r="B50" s="78"/>
      <c r="C50" s="79"/>
      <c r="D50" s="126"/>
      <c r="E50" s="128"/>
      <c r="F50" s="126"/>
      <c r="G50" s="127"/>
      <c r="H50" s="127"/>
      <c r="I50" s="127"/>
      <c r="J50" s="127"/>
      <c r="K50" s="127"/>
      <c r="L50" s="127"/>
      <c r="M50" s="127"/>
      <c r="N50" s="128"/>
      <c r="O50" s="126"/>
      <c r="P50" s="127"/>
      <c r="Q50" s="127"/>
      <c r="R50" s="127"/>
      <c r="S50" s="127"/>
      <c r="T50" s="127"/>
      <c r="U50" s="127"/>
      <c r="V50" s="127"/>
      <c r="W50" s="128"/>
      <c r="X50" s="126"/>
      <c r="Y50" s="127"/>
      <c r="Z50" s="127"/>
      <c r="AA50" s="127"/>
      <c r="AB50" s="127"/>
      <c r="AC50" s="127"/>
      <c r="AD50" s="127"/>
      <c r="AE50" s="127"/>
      <c r="AF50" s="128"/>
      <c r="AG50" s="66"/>
      <c r="AH50" s="126"/>
      <c r="AI50" s="127"/>
      <c r="AJ50" s="127"/>
      <c r="AK50" s="127"/>
      <c r="AL50" s="127"/>
      <c r="AM50" s="127"/>
      <c r="AN50" s="127"/>
      <c r="AO50" s="127"/>
      <c r="AP50" s="128"/>
      <c r="AQ50" s="126"/>
      <c r="AR50" s="127"/>
      <c r="AS50" s="127"/>
      <c r="AT50" s="127"/>
      <c r="AU50" s="127"/>
      <c r="AV50" s="127"/>
      <c r="AW50" s="127"/>
      <c r="AX50" s="127"/>
      <c r="AY50" s="128"/>
    </row>
    <row r="51" spans="1:51" ht="18.75" customHeight="1">
      <c r="A51" s="77"/>
      <c r="B51" s="78"/>
      <c r="C51" s="79"/>
      <c r="D51" s="126"/>
      <c r="E51" s="128"/>
      <c r="F51" s="126"/>
      <c r="G51" s="127"/>
      <c r="H51" s="127"/>
      <c r="I51" s="127"/>
      <c r="J51" s="127"/>
      <c r="K51" s="127"/>
      <c r="L51" s="127"/>
      <c r="M51" s="127"/>
      <c r="N51" s="128"/>
      <c r="O51" s="126"/>
      <c r="P51" s="127"/>
      <c r="Q51" s="127"/>
      <c r="R51" s="127"/>
      <c r="S51" s="127"/>
      <c r="T51" s="127"/>
      <c r="U51" s="127"/>
      <c r="V51" s="127"/>
      <c r="W51" s="128"/>
      <c r="X51" s="126"/>
      <c r="Y51" s="127"/>
      <c r="Z51" s="127"/>
      <c r="AA51" s="127"/>
      <c r="AB51" s="127"/>
      <c r="AC51" s="127"/>
      <c r="AD51" s="127"/>
      <c r="AE51" s="127"/>
      <c r="AF51" s="128"/>
      <c r="AG51" s="66"/>
      <c r="AH51" s="126"/>
      <c r="AI51" s="127"/>
      <c r="AJ51" s="127"/>
      <c r="AK51" s="127"/>
      <c r="AL51" s="127"/>
      <c r="AM51" s="127"/>
      <c r="AN51" s="127"/>
      <c r="AO51" s="127"/>
      <c r="AP51" s="128"/>
      <c r="AQ51" s="126"/>
      <c r="AR51" s="127"/>
      <c r="AS51" s="127"/>
      <c r="AT51" s="127"/>
      <c r="AU51" s="127"/>
      <c r="AV51" s="127"/>
      <c r="AW51" s="127"/>
      <c r="AX51" s="127"/>
      <c r="AY51" s="128"/>
    </row>
    <row r="52" spans="1:51" ht="18.75" customHeight="1">
      <c r="A52" s="77"/>
      <c r="B52" s="78"/>
      <c r="C52" s="79"/>
      <c r="D52" s="126"/>
      <c r="E52" s="128"/>
      <c r="F52" s="126"/>
      <c r="G52" s="127"/>
      <c r="H52" s="127"/>
      <c r="I52" s="127"/>
      <c r="J52" s="127"/>
      <c r="K52" s="127"/>
      <c r="L52" s="127"/>
      <c r="M52" s="127"/>
      <c r="N52" s="128"/>
      <c r="O52" s="126"/>
      <c r="P52" s="127"/>
      <c r="Q52" s="127"/>
      <c r="R52" s="127"/>
      <c r="S52" s="127"/>
      <c r="T52" s="127"/>
      <c r="U52" s="127"/>
      <c r="V52" s="127"/>
      <c r="W52" s="128"/>
      <c r="X52" s="126"/>
      <c r="Y52" s="127"/>
      <c r="Z52" s="127"/>
      <c r="AA52" s="127"/>
      <c r="AB52" s="127"/>
      <c r="AC52" s="127"/>
      <c r="AD52" s="127"/>
      <c r="AE52" s="127"/>
      <c r="AF52" s="128"/>
      <c r="AG52" s="66"/>
      <c r="AH52" s="126"/>
      <c r="AI52" s="127"/>
      <c r="AJ52" s="127"/>
      <c r="AK52" s="127"/>
      <c r="AL52" s="127"/>
      <c r="AM52" s="127"/>
      <c r="AN52" s="127"/>
      <c r="AO52" s="127"/>
      <c r="AP52" s="128"/>
      <c r="AQ52" s="126"/>
      <c r="AR52" s="127"/>
      <c r="AS52" s="127"/>
      <c r="AT52" s="127"/>
      <c r="AU52" s="127"/>
      <c r="AV52" s="127"/>
      <c r="AW52" s="127"/>
      <c r="AX52" s="127"/>
      <c r="AY52" s="128"/>
    </row>
    <row r="53" spans="1:51" ht="18.75" customHeight="1">
      <c r="A53" s="77"/>
      <c r="B53" s="78"/>
      <c r="C53" s="79"/>
      <c r="D53" s="126"/>
      <c r="E53" s="128"/>
      <c r="F53" s="126"/>
      <c r="G53" s="127"/>
      <c r="H53" s="127"/>
      <c r="I53" s="127"/>
      <c r="J53" s="127"/>
      <c r="K53" s="127"/>
      <c r="L53" s="127"/>
      <c r="M53" s="127"/>
      <c r="N53" s="128"/>
      <c r="O53" s="126"/>
      <c r="P53" s="127"/>
      <c r="Q53" s="127"/>
      <c r="R53" s="127"/>
      <c r="S53" s="127"/>
      <c r="T53" s="127"/>
      <c r="U53" s="127"/>
      <c r="V53" s="127"/>
      <c r="W53" s="128"/>
      <c r="X53" s="126"/>
      <c r="Y53" s="127"/>
      <c r="Z53" s="127"/>
      <c r="AA53" s="127"/>
      <c r="AB53" s="127"/>
      <c r="AC53" s="127"/>
      <c r="AD53" s="127"/>
      <c r="AE53" s="127"/>
      <c r="AF53" s="128"/>
      <c r="AG53" s="66"/>
      <c r="AH53" s="126"/>
      <c r="AI53" s="127"/>
      <c r="AJ53" s="127"/>
      <c r="AK53" s="127"/>
      <c r="AL53" s="127"/>
      <c r="AM53" s="127"/>
      <c r="AN53" s="127"/>
      <c r="AO53" s="127"/>
      <c r="AP53" s="128"/>
      <c r="AQ53" s="126"/>
      <c r="AR53" s="127"/>
      <c r="AS53" s="127"/>
      <c r="AT53" s="127"/>
      <c r="AU53" s="127"/>
      <c r="AV53" s="127"/>
      <c r="AW53" s="127"/>
      <c r="AX53" s="127"/>
      <c r="AY53" s="128"/>
    </row>
    <row r="54" spans="1:51" ht="18.75" customHeight="1">
      <c r="A54" s="77"/>
      <c r="B54" s="78"/>
      <c r="C54" s="79"/>
      <c r="D54" s="126"/>
      <c r="E54" s="128"/>
      <c r="F54" s="126"/>
      <c r="G54" s="127"/>
      <c r="H54" s="127"/>
      <c r="I54" s="127"/>
      <c r="J54" s="127"/>
      <c r="K54" s="127"/>
      <c r="L54" s="127"/>
      <c r="M54" s="127"/>
      <c r="N54" s="128"/>
      <c r="O54" s="126"/>
      <c r="P54" s="127"/>
      <c r="Q54" s="127"/>
      <c r="R54" s="127"/>
      <c r="S54" s="127"/>
      <c r="T54" s="127"/>
      <c r="U54" s="127"/>
      <c r="V54" s="127"/>
      <c r="W54" s="128"/>
      <c r="X54" s="126"/>
      <c r="Y54" s="127"/>
      <c r="Z54" s="127"/>
      <c r="AA54" s="127"/>
      <c r="AB54" s="127"/>
      <c r="AC54" s="127"/>
      <c r="AD54" s="127"/>
      <c r="AE54" s="127"/>
      <c r="AF54" s="128"/>
      <c r="AG54" s="66"/>
      <c r="AH54" s="126"/>
      <c r="AI54" s="127"/>
      <c r="AJ54" s="127"/>
      <c r="AK54" s="127"/>
      <c r="AL54" s="127"/>
      <c r="AM54" s="127"/>
      <c r="AN54" s="127"/>
      <c r="AO54" s="127"/>
      <c r="AP54" s="128"/>
      <c r="AQ54" s="126"/>
      <c r="AR54" s="127"/>
      <c r="AS54" s="127"/>
      <c r="AT54" s="127"/>
      <c r="AU54" s="127"/>
      <c r="AV54" s="127"/>
      <c r="AW54" s="127"/>
      <c r="AX54" s="127"/>
      <c r="AY54" s="128"/>
    </row>
    <row r="55" spans="1:51" ht="18.75" customHeight="1">
      <c r="A55" s="77"/>
      <c r="B55" s="78"/>
      <c r="C55" s="79"/>
      <c r="D55" s="126"/>
      <c r="E55" s="128"/>
      <c r="F55" s="126"/>
      <c r="G55" s="127"/>
      <c r="H55" s="127"/>
      <c r="I55" s="127"/>
      <c r="J55" s="127"/>
      <c r="K55" s="127"/>
      <c r="L55" s="127"/>
      <c r="M55" s="127"/>
      <c r="N55" s="128"/>
      <c r="O55" s="126"/>
      <c r="P55" s="127"/>
      <c r="Q55" s="127"/>
      <c r="R55" s="127"/>
      <c r="S55" s="127"/>
      <c r="T55" s="127"/>
      <c r="U55" s="127"/>
      <c r="V55" s="127"/>
      <c r="W55" s="128"/>
      <c r="X55" s="126"/>
      <c r="Y55" s="127"/>
      <c r="Z55" s="127"/>
      <c r="AA55" s="127"/>
      <c r="AB55" s="127"/>
      <c r="AC55" s="127"/>
      <c r="AD55" s="127"/>
      <c r="AE55" s="127"/>
      <c r="AF55" s="128"/>
      <c r="AG55" s="66"/>
      <c r="AH55" s="126"/>
      <c r="AI55" s="127"/>
      <c r="AJ55" s="127"/>
      <c r="AK55" s="127"/>
      <c r="AL55" s="127"/>
      <c r="AM55" s="127"/>
      <c r="AN55" s="127"/>
      <c r="AO55" s="127"/>
      <c r="AP55" s="128"/>
      <c r="AQ55" s="126"/>
      <c r="AR55" s="127"/>
      <c r="AS55" s="127"/>
      <c r="AT55" s="127"/>
      <c r="AU55" s="127"/>
      <c r="AV55" s="127"/>
      <c r="AW55" s="127"/>
      <c r="AX55" s="127"/>
      <c r="AY55" s="128"/>
    </row>
    <row r="56" spans="1:51" ht="18.75" customHeight="1">
      <c r="A56" s="77"/>
      <c r="B56" s="78"/>
      <c r="C56" s="79"/>
      <c r="D56" s="126"/>
      <c r="E56" s="128"/>
      <c r="F56" s="126"/>
      <c r="G56" s="127"/>
      <c r="H56" s="127"/>
      <c r="I56" s="127"/>
      <c r="J56" s="127"/>
      <c r="K56" s="127"/>
      <c r="L56" s="127"/>
      <c r="M56" s="127"/>
      <c r="N56" s="128"/>
      <c r="O56" s="126"/>
      <c r="P56" s="127"/>
      <c r="Q56" s="127"/>
      <c r="R56" s="127"/>
      <c r="S56" s="127"/>
      <c r="T56" s="127"/>
      <c r="U56" s="127"/>
      <c r="V56" s="127"/>
      <c r="W56" s="128"/>
      <c r="X56" s="126"/>
      <c r="Y56" s="127"/>
      <c r="Z56" s="127"/>
      <c r="AA56" s="127"/>
      <c r="AB56" s="127"/>
      <c r="AC56" s="127"/>
      <c r="AD56" s="127"/>
      <c r="AE56" s="127"/>
      <c r="AF56" s="128"/>
      <c r="AG56" s="66"/>
      <c r="AH56" s="126"/>
      <c r="AI56" s="127"/>
      <c r="AJ56" s="127"/>
      <c r="AK56" s="127"/>
      <c r="AL56" s="127"/>
      <c r="AM56" s="127"/>
      <c r="AN56" s="127"/>
      <c r="AO56" s="127"/>
      <c r="AP56" s="128"/>
      <c r="AQ56" s="126"/>
      <c r="AR56" s="127"/>
      <c r="AS56" s="127"/>
      <c r="AT56" s="127"/>
      <c r="AU56" s="127"/>
      <c r="AV56" s="127"/>
      <c r="AW56" s="127"/>
      <c r="AX56" s="127"/>
      <c r="AY56" s="128"/>
    </row>
    <row r="57" spans="1:51" ht="18.75" customHeight="1">
      <c r="A57" s="77"/>
      <c r="B57" s="78"/>
      <c r="C57" s="79"/>
      <c r="D57" s="126"/>
      <c r="E57" s="128"/>
      <c r="F57" s="126"/>
      <c r="G57" s="127"/>
      <c r="H57" s="127"/>
      <c r="I57" s="127"/>
      <c r="J57" s="127"/>
      <c r="K57" s="127"/>
      <c r="L57" s="127"/>
      <c r="M57" s="127"/>
      <c r="N57" s="128"/>
      <c r="O57" s="126"/>
      <c r="P57" s="127"/>
      <c r="Q57" s="127"/>
      <c r="R57" s="127"/>
      <c r="S57" s="127"/>
      <c r="T57" s="127"/>
      <c r="U57" s="127"/>
      <c r="V57" s="127"/>
      <c r="W57" s="128"/>
      <c r="X57" s="126"/>
      <c r="Y57" s="127"/>
      <c r="Z57" s="127"/>
      <c r="AA57" s="127"/>
      <c r="AB57" s="127"/>
      <c r="AC57" s="127"/>
      <c r="AD57" s="127"/>
      <c r="AE57" s="127"/>
      <c r="AF57" s="128"/>
      <c r="AG57" s="66"/>
      <c r="AH57" s="126"/>
      <c r="AI57" s="127"/>
      <c r="AJ57" s="127"/>
      <c r="AK57" s="127"/>
      <c r="AL57" s="127"/>
      <c r="AM57" s="127"/>
      <c r="AN57" s="127"/>
      <c r="AO57" s="127"/>
      <c r="AP57" s="128"/>
      <c r="AQ57" s="126"/>
      <c r="AR57" s="127"/>
      <c r="AS57" s="127"/>
      <c r="AT57" s="127"/>
      <c r="AU57" s="127"/>
      <c r="AV57" s="127"/>
      <c r="AW57" s="127"/>
      <c r="AX57" s="127"/>
      <c r="AY57" s="128"/>
    </row>
    <row r="58" spans="1:51" ht="18.75" customHeight="1">
      <c r="A58" s="77"/>
      <c r="B58" s="78"/>
      <c r="C58" s="79"/>
      <c r="D58" s="126"/>
      <c r="E58" s="128"/>
      <c r="F58" s="126"/>
      <c r="G58" s="127"/>
      <c r="H58" s="127"/>
      <c r="I58" s="127"/>
      <c r="J58" s="127"/>
      <c r="K58" s="127"/>
      <c r="L58" s="127"/>
      <c r="M58" s="127"/>
      <c r="N58" s="128"/>
      <c r="O58" s="126"/>
      <c r="P58" s="127"/>
      <c r="Q58" s="127"/>
      <c r="R58" s="127"/>
      <c r="S58" s="127"/>
      <c r="T58" s="127"/>
      <c r="U58" s="127"/>
      <c r="V58" s="127"/>
      <c r="W58" s="128"/>
      <c r="X58" s="126"/>
      <c r="Y58" s="127"/>
      <c r="Z58" s="127"/>
      <c r="AA58" s="127"/>
      <c r="AB58" s="127"/>
      <c r="AC58" s="127"/>
      <c r="AD58" s="127"/>
      <c r="AE58" s="127"/>
      <c r="AF58" s="128"/>
      <c r="AG58" s="66"/>
      <c r="AH58" s="126"/>
      <c r="AI58" s="127"/>
      <c r="AJ58" s="127"/>
      <c r="AK58" s="127"/>
      <c r="AL58" s="127"/>
      <c r="AM58" s="127"/>
      <c r="AN58" s="127"/>
      <c r="AO58" s="127"/>
      <c r="AP58" s="128"/>
      <c r="AQ58" s="126"/>
      <c r="AR58" s="127"/>
      <c r="AS58" s="127"/>
      <c r="AT58" s="127"/>
      <c r="AU58" s="127"/>
      <c r="AV58" s="127"/>
      <c r="AW58" s="127"/>
      <c r="AX58" s="127"/>
      <c r="AY58" s="128"/>
    </row>
    <row r="59" spans="1:51" ht="18.75" customHeight="1">
      <c r="A59" s="77"/>
      <c r="B59" s="78"/>
      <c r="C59" s="79"/>
      <c r="D59" s="126"/>
      <c r="E59" s="128"/>
      <c r="F59" s="126"/>
      <c r="G59" s="127"/>
      <c r="H59" s="127"/>
      <c r="I59" s="127"/>
      <c r="J59" s="127"/>
      <c r="K59" s="127"/>
      <c r="L59" s="127"/>
      <c r="M59" s="127"/>
      <c r="N59" s="128"/>
      <c r="O59" s="126"/>
      <c r="P59" s="127"/>
      <c r="Q59" s="127"/>
      <c r="R59" s="127"/>
      <c r="S59" s="127"/>
      <c r="T59" s="127"/>
      <c r="U59" s="127"/>
      <c r="V59" s="127"/>
      <c r="W59" s="128"/>
      <c r="X59" s="126"/>
      <c r="Y59" s="127"/>
      <c r="Z59" s="127"/>
      <c r="AA59" s="127"/>
      <c r="AB59" s="127"/>
      <c r="AC59" s="127"/>
      <c r="AD59" s="127"/>
      <c r="AE59" s="127"/>
      <c r="AF59" s="128"/>
      <c r="AG59" s="66"/>
      <c r="AH59" s="126"/>
      <c r="AI59" s="127"/>
      <c r="AJ59" s="127"/>
      <c r="AK59" s="127"/>
      <c r="AL59" s="127"/>
      <c r="AM59" s="127"/>
      <c r="AN59" s="127"/>
      <c r="AO59" s="127"/>
      <c r="AP59" s="128"/>
      <c r="AQ59" s="126"/>
      <c r="AR59" s="127"/>
      <c r="AS59" s="127"/>
      <c r="AT59" s="127"/>
      <c r="AU59" s="127"/>
      <c r="AV59" s="127"/>
      <c r="AW59" s="127"/>
      <c r="AX59" s="127"/>
      <c r="AY59" s="128"/>
    </row>
    <row r="60" spans="1:51" ht="18.75" customHeight="1">
      <c r="A60" s="77"/>
      <c r="B60" s="78"/>
      <c r="C60" s="79"/>
      <c r="D60" s="126"/>
      <c r="E60" s="128"/>
      <c r="F60" s="126"/>
      <c r="G60" s="127"/>
      <c r="H60" s="127"/>
      <c r="I60" s="127"/>
      <c r="J60" s="127"/>
      <c r="K60" s="127"/>
      <c r="L60" s="127"/>
      <c r="M60" s="127"/>
      <c r="N60" s="128"/>
      <c r="O60" s="126"/>
      <c r="P60" s="127"/>
      <c r="Q60" s="127"/>
      <c r="R60" s="127"/>
      <c r="S60" s="127"/>
      <c r="T60" s="127"/>
      <c r="U60" s="127"/>
      <c r="V60" s="127"/>
      <c r="W60" s="128"/>
      <c r="X60" s="126"/>
      <c r="Y60" s="127"/>
      <c r="Z60" s="127"/>
      <c r="AA60" s="127"/>
      <c r="AB60" s="127"/>
      <c r="AC60" s="127"/>
      <c r="AD60" s="127"/>
      <c r="AE60" s="127"/>
      <c r="AF60" s="128"/>
      <c r="AG60" s="66"/>
      <c r="AH60" s="126"/>
      <c r="AI60" s="127"/>
      <c r="AJ60" s="127"/>
      <c r="AK60" s="127"/>
      <c r="AL60" s="127"/>
      <c r="AM60" s="127"/>
      <c r="AN60" s="127"/>
      <c r="AO60" s="127"/>
      <c r="AP60" s="128"/>
      <c r="AQ60" s="126"/>
      <c r="AR60" s="127"/>
      <c r="AS60" s="127"/>
      <c r="AT60" s="127"/>
      <c r="AU60" s="127"/>
      <c r="AV60" s="127"/>
      <c r="AW60" s="127"/>
      <c r="AX60" s="127"/>
      <c r="AY60" s="128"/>
    </row>
    <row r="61" spans="1:51" ht="18.75" customHeight="1">
      <c r="A61" s="77"/>
      <c r="B61" s="78"/>
      <c r="C61" s="79"/>
      <c r="D61" s="126"/>
      <c r="E61" s="128"/>
      <c r="F61" s="126"/>
      <c r="G61" s="127"/>
      <c r="H61" s="127"/>
      <c r="I61" s="127"/>
      <c r="J61" s="127"/>
      <c r="K61" s="127"/>
      <c r="L61" s="127"/>
      <c r="M61" s="127"/>
      <c r="N61" s="128"/>
      <c r="O61" s="126"/>
      <c r="P61" s="127"/>
      <c r="Q61" s="127"/>
      <c r="R61" s="127"/>
      <c r="S61" s="127"/>
      <c r="T61" s="127"/>
      <c r="U61" s="127"/>
      <c r="V61" s="127"/>
      <c r="W61" s="128"/>
      <c r="X61" s="126"/>
      <c r="Y61" s="127"/>
      <c r="Z61" s="127"/>
      <c r="AA61" s="127"/>
      <c r="AB61" s="127"/>
      <c r="AC61" s="127"/>
      <c r="AD61" s="127"/>
      <c r="AE61" s="127"/>
      <c r="AF61" s="128"/>
      <c r="AG61" s="66"/>
      <c r="AH61" s="126"/>
      <c r="AI61" s="127"/>
      <c r="AJ61" s="127"/>
      <c r="AK61" s="127"/>
      <c r="AL61" s="127"/>
      <c r="AM61" s="127"/>
      <c r="AN61" s="127"/>
      <c r="AO61" s="127"/>
      <c r="AP61" s="128"/>
      <c r="AQ61" s="126"/>
      <c r="AR61" s="127"/>
      <c r="AS61" s="127"/>
      <c r="AT61" s="127"/>
      <c r="AU61" s="127"/>
      <c r="AV61" s="127"/>
      <c r="AW61" s="127"/>
      <c r="AX61" s="127"/>
      <c r="AY61" s="128"/>
    </row>
    <row r="62" spans="1:51" ht="18.75" customHeight="1">
      <c r="A62" s="77"/>
      <c r="B62" s="78"/>
      <c r="C62" s="79"/>
      <c r="D62" s="126"/>
      <c r="E62" s="128"/>
      <c r="F62" s="126"/>
      <c r="G62" s="127"/>
      <c r="H62" s="127"/>
      <c r="I62" s="127"/>
      <c r="J62" s="127"/>
      <c r="K62" s="127"/>
      <c r="L62" s="127"/>
      <c r="M62" s="127"/>
      <c r="N62" s="128"/>
      <c r="O62" s="126"/>
      <c r="P62" s="127"/>
      <c r="Q62" s="127"/>
      <c r="R62" s="127"/>
      <c r="S62" s="127"/>
      <c r="T62" s="127"/>
      <c r="U62" s="127"/>
      <c r="V62" s="127"/>
      <c r="W62" s="128"/>
      <c r="X62" s="126"/>
      <c r="Y62" s="127"/>
      <c r="Z62" s="127"/>
      <c r="AA62" s="127"/>
      <c r="AB62" s="127"/>
      <c r="AC62" s="127"/>
      <c r="AD62" s="127"/>
      <c r="AE62" s="127"/>
      <c r="AF62" s="128"/>
      <c r="AG62" s="66"/>
      <c r="AH62" s="126"/>
      <c r="AI62" s="127"/>
      <c r="AJ62" s="127"/>
      <c r="AK62" s="127"/>
      <c r="AL62" s="127"/>
      <c r="AM62" s="127"/>
      <c r="AN62" s="127"/>
      <c r="AO62" s="127"/>
      <c r="AP62" s="128"/>
      <c r="AQ62" s="126"/>
      <c r="AR62" s="127"/>
      <c r="AS62" s="127"/>
      <c r="AT62" s="127"/>
      <c r="AU62" s="127"/>
      <c r="AV62" s="127"/>
      <c r="AW62" s="127"/>
      <c r="AX62" s="127"/>
      <c r="AY62" s="128"/>
    </row>
    <row r="63" spans="1:51" ht="18.75" customHeight="1">
      <c r="A63" s="169"/>
      <c r="B63" s="170"/>
      <c r="C63" s="171"/>
      <c r="D63" s="121"/>
      <c r="E63" s="123"/>
      <c r="F63" s="121"/>
      <c r="G63" s="122"/>
      <c r="H63" s="122"/>
      <c r="I63" s="122"/>
      <c r="J63" s="122"/>
      <c r="K63" s="122"/>
      <c r="L63" s="122"/>
      <c r="M63" s="122"/>
      <c r="N63" s="123"/>
      <c r="O63" s="121"/>
      <c r="P63" s="122"/>
      <c r="Q63" s="122"/>
      <c r="R63" s="122"/>
      <c r="S63" s="122"/>
      <c r="T63" s="122"/>
      <c r="U63" s="122"/>
      <c r="V63" s="122"/>
      <c r="W63" s="123"/>
      <c r="X63" s="121"/>
      <c r="Y63" s="122"/>
      <c r="Z63" s="122"/>
      <c r="AA63" s="122"/>
      <c r="AB63" s="122"/>
      <c r="AC63" s="122"/>
      <c r="AD63" s="122"/>
      <c r="AE63" s="122"/>
      <c r="AF63" s="123"/>
      <c r="AG63" s="67"/>
      <c r="AH63" s="121"/>
      <c r="AI63" s="122"/>
      <c r="AJ63" s="122"/>
      <c r="AK63" s="122"/>
      <c r="AL63" s="122"/>
      <c r="AM63" s="122"/>
      <c r="AN63" s="122"/>
      <c r="AO63" s="122"/>
      <c r="AP63" s="123"/>
      <c r="AQ63" s="121"/>
      <c r="AR63" s="122"/>
      <c r="AS63" s="122"/>
      <c r="AT63" s="122"/>
      <c r="AU63" s="122"/>
      <c r="AV63" s="122"/>
      <c r="AW63" s="122"/>
      <c r="AX63" s="122"/>
      <c r="AY63" s="123"/>
    </row>
    <row r="64" spans="1:51" ht="18.75" customHeight="1">
      <c r="A64" s="164" t="str">
        <f>Translation!N$40</f>
        <v>Créé par :</v>
      </c>
      <c r="B64" s="155"/>
      <c r="C64" s="155"/>
      <c r="D64" s="155"/>
      <c r="E64" s="155"/>
      <c r="F64" s="155"/>
      <c r="G64" s="155" t="str">
        <f>Translation!N$44</f>
        <v>Date :</v>
      </c>
      <c r="H64" s="155"/>
      <c r="I64" s="155"/>
      <c r="J64" s="155"/>
      <c r="K64" s="155"/>
      <c r="L64" s="155"/>
      <c r="M64" s="155" t="str">
        <f>Translation!N$45</f>
        <v>Signature :</v>
      </c>
      <c r="N64" s="155"/>
      <c r="O64" s="155"/>
      <c r="P64" s="155"/>
      <c r="Q64" s="155"/>
      <c r="R64" s="156"/>
      <c r="S64" s="157" t="str">
        <f>Translation!N$41</f>
        <v>Validé - Production :</v>
      </c>
      <c r="T64" s="158"/>
      <c r="U64" s="158"/>
      <c r="V64" s="158"/>
      <c r="W64" s="158"/>
      <c r="X64" s="155" t="str">
        <f>Translation!N$44</f>
        <v>Date :</v>
      </c>
      <c r="Y64" s="155"/>
      <c r="Z64" s="155"/>
      <c r="AA64" s="155"/>
      <c r="AB64" s="155"/>
      <c r="AC64" s="155"/>
      <c r="AD64" s="155" t="str">
        <f>Translation!N$45</f>
        <v>Signature :</v>
      </c>
      <c r="AE64" s="155"/>
      <c r="AF64" s="155"/>
      <c r="AG64" s="155"/>
      <c r="AH64" s="155"/>
      <c r="AI64" s="155"/>
      <c r="AJ64" s="156"/>
      <c r="AK64" s="158" t="str">
        <f>Translation!N$42</f>
        <v>Validé - Qualité :</v>
      </c>
      <c r="AL64" s="158"/>
      <c r="AM64" s="158"/>
      <c r="AN64" s="158"/>
      <c r="AO64" s="155" t="str">
        <f>Translation!N$44</f>
        <v>Date :</v>
      </c>
      <c r="AP64" s="155"/>
      <c r="AQ64" s="155"/>
      <c r="AR64" s="155"/>
      <c r="AS64" s="155"/>
      <c r="AT64" s="155" t="str">
        <f>Translation!N$45</f>
        <v>Signature :</v>
      </c>
      <c r="AU64" s="155"/>
      <c r="AV64" s="155"/>
      <c r="AW64" s="155"/>
      <c r="AX64" s="155"/>
      <c r="AY64" s="156"/>
    </row>
    <row r="65" spans="1:51" ht="18.75" customHeight="1">
      <c r="A65" s="165" t="str">
        <f>IF($AO$27=0,"",$AO$27)</f>
        <v/>
      </c>
      <c r="B65" s="162"/>
      <c r="C65" s="162"/>
      <c r="D65" s="162"/>
      <c r="E65" s="162"/>
      <c r="F65" s="162"/>
      <c r="G65" s="166" t="str">
        <f>IF($AM$28=0,"",$AM$28)</f>
        <v/>
      </c>
      <c r="H65" s="162"/>
      <c r="I65" s="162"/>
      <c r="J65" s="162"/>
      <c r="K65" s="162"/>
      <c r="L65" s="162"/>
      <c r="M65" s="162" t="str">
        <f>IF($AM$29=0,"",$AM$29)</f>
        <v/>
      </c>
      <c r="N65" s="162"/>
      <c r="O65" s="162"/>
      <c r="P65" s="162"/>
      <c r="Q65" s="162"/>
      <c r="R65" s="163"/>
      <c r="S65" s="165" t="str">
        <f>IF($AW$27=0,"",$AW$27)</f>
        <v/>
      </c>
      <c r="T65" s="162"/>
      <c r="U65" s="162"/>
      <c r="V65" s="162"/>
      <c r="W65" s="162"/>
      <c r="X65" s="166" t="str">
        <f>IF($AU$28=0,"",$AU$28)</f>
        <v/>
      </c>
      <c r="Y65" s="162"/>
      <c r="Z65" s="162"/>
      <c r="AA65" s="162"/>
      <c r="AB65" s="162"/>
      <c r="AC65" s="162"/>
      <c r="AD65" s="162" t="str">
        <f>IF($AU$29=0,"",$AU$29)</f>
        <v/>
      </c>
      <c r="AE65" s="162"/>
      <c r="AF65" s="162"/>
      <c r="AG65" s="162"/>
      <c r="AH65" s="162"/>
      <c r="AI65" s="162"/>
      <c r="AJ65" s="163"/>
      <c r="AK65" s="162" t="str">
        <f>IF($AO$30=0,"",$AO$30)</f>
        <v/>
      </c>
      <c r="AL65" s="162"/>
      <c r="AM65" s="162"/>
      <c r="AN65" s="162"/>
      <c r="AO65" s="166" t="str">
        <f>IF($AM$31=0,"",$AM$31)</f>
        <v/>
      </c>
      <c r="AP65" s="162"/>
      <c r="AQ65" s="162"/>
      <c r="AR65" s="162"/>
      <c r="AS65" s="162"/>
      <c r="AT65" s="162" t="str">
        <f>IF($AM$32=0,"",$AM$32)</f>
        <v/>
      </c>
      <c r="AU65" s="162"/>
      <c r="AV65" s="162"/>
      <c r="AW65" s="162"/>
      <c r="AX65" s="162"/>
      <c r="AY65" s="163"/>
    </row>
    <row r="66" spans="1:51" ht="18.75" customHeight="1">
      <c r="A66" s="69"/>
      <c r="B66" s="69"/>
      <c r="C66" s="69"/>
      <c r="D66" s="69"/>
      <c r="E66" s="69"/>
      <c r="F66" s="69"/>
      <c r="G66" s="70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70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70"/>
      <c r="AP66" s="69"/>
      <c r="AQ66" s="69"/>
      <c r="AR66" s="69"/>
      <c r="AS66" s="69"/>
      <c r="AT66" s="69"/>
      <c r="AU66" s="69"/>
      <c r="AV66" s="69"/>
      <c r="AW66" s="69"/>
      <c r="AX66" s="69"/>
      <c r="AY66" s="69"/>
    </row>
    <row r="67" spans="1:51" ht="18.75" customHeight="1">
      <c r="A67" s="69"/>
      <c r="B67" s="69"/>
      <c r="C67" s="69"/>
      <c r="D67" s="69"/>
      <c r="E67" s="69"/>
      <c r="F67" s="69"/>
      <c r="G67" s="70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70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70"/>
      <c r="AP67" s="69"/>
      <c r="AQ67" s="69"/>
      <c r="AR67" s="69"/>
      <c r="AS67" s="69"/>
      <c r="AT67" s="69"/>
      <c r="AU67" s="69"/>
      <c r="AV67" s="69"/>
      <c r="AW67" s="69"/>
      <c r="AX67" s="69"/>
      <c r="AY67" s="69"/>
    </row>
    <row r="68" spans="1:51" ht="18.75" customHeight="1">
      <c r="A68" s="69"/>
      <c r="B68" s="69"/>
      <c r="C68" s="69"/>
      <c r="D68" s="69"/>
      <c r="E68" s="69"/>
      <c r="F68" s="69"/>
      <c r="G68" s="70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70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70"/>
      <c r="AP68" s="69"/>
      <c r="AQ68" s="69"/>
      <c r="AR68" s="69"/>
      <c r="AS68" s="69"/>
      <c r="AT68" s="69"/>
      <c r="AU68" s="69"/>
      <c r="AV68" s="69"/>
      <c r="AW68" s="69"/>
      <c r="AX68" s="69"/>
      <c r="AY68" s="69"/>
    </row>
    <row r="69" spans="1:51" ht="18.75" customHeight="1">
      <c r="A69" s="69"/>
      <c r="B69" s="69"/>
      <c r="C69" s="69"/>
      <c r="D69" s="69"/>
      <c r="E69" s="69"/>
      <c r="F69" s="69"/>
      <c r="G69" s="70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70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70"/>
      <c r="AP69" s="69"/>
      <c r="AQ69" s="69"/>
      <c r="AR69" s="69"/>
      <c r="AS69" s="69"/>
      <c r="AT69" s="69"/>
      <c r="AU69" s="69"/>
      <c r="AV69" s="69"/>
      <c r="AW69" s="69"/>
      <c r="AX69" s="69"/>
      <c r="AY69" s="69"/>
    </row>
    <row r="70" spans="1:51" ht="18.75" customHeight="1">
      <c r="A70" s="69"/>
      <c r="B70" s="69"/>
      <c r="C70" s="69"/>
      <c r="D70" s="69"/>
      <c r="E70" s="69"/>
      <c r="F70" s="69"/>
      <c r="G70" s="70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70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70"/>
      <c r="AP70" s="69"/>
      <c r="AQ70" s="69"/>
      <c r="AR70" s="69"/>
      <c r="AS70" s="69"/>
      <c r="AT70" s="69"/>
      <c r="AU70" s="69"/>
      <c r="AV70" s="69"/>
      <c r="AW70" s="69"/>
      <c r="AX70" s="69"/>
      <c r="AY70" s="69"/>
    </row>
    <row r="71" spans="1:51" ht="18.75" customHeight="1">
      <c r="A71" s="69"/>
      <c r="B71" s="69"/>
      <c r="C71" s="69"/>
      <c r="D71" s="69"/>
      <c r="E71" s="69"/>
      <c r="F71" s="69"/>
      <c r="G71" s="70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70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70"/>
      <c r="AP71" s="69"/>
      <c r="AQ71" s="69"/>
      <c r="AR71" s="69"/>
      <c r="AS71" s="69"/>
      <c r="AT71" s="69"/>
      <c r="AU71" s="69"/>
      <c r="AV71" s="69"/>
      <c r="AW71" s="69"/>
      <c r="AX71" s="69"/>
      <c r="AY71" s="69"/>
    </row>
    <row r="72" spans="1:51" ht="18.75" customHeight="1">
      <c r="A72" s="69"/>
      <c r="B72" s="69"/>
      <c r="C72" s="69"/>
      <c r="D72" s="69"/>
      <c r="E72" s="69"/>
      <c r="F72" s="69"/>
      <c r="G72" s="70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70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70"/>
      <c r="AP72" s="69"/>
      <c r="AQ72" s="69"/>
      <c r="AR72" s="69"/>
      <c r="AS72" s="69"/>
      <c r="AT72" s="69"/>
      <c r="AU72" s="69"/>
      <c r="AV72" s="69"/>
      <c r="AW72" s="69"/>
      <c r="AX72" s="69"/>
      <c r="AY72" s="69"/>
    </row>
    <row r="73" spans="1:51" ht="18.75" customHeight="1">
      <c r="A73" s="69"/>
      <c r="B73" s="69"/>
      <c r="C73" s="69"/>
      <c r="D73" s="69"/>
      <c r="E73" s="69"/>
      <c r="F73" s="69"/>
      <c r="G73" s="70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70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70"/>
      <c r="AP73" s="69"/>
      <c r="AQ73" s="69"/>
      <c r="AR73" s="69"/>
      <c r="AS73" s="69"/>
      <c r="AT73" s="69"/>
      <c r="AU73" s="69"/>
      <c r="AV73" s="69"/>
      <c r="AW73" s="69"/>
      <c r="AX73" s="69"/>
      <c r="AY73" s="69"/>
    </row>
    <row r="74" spans="1:51" ht="18.75" customHeight="1">
      <c r="A74" s="69"/>
      <c r="B74" s="69"/>
      <c r="C74" s="69"/>
      <c r="D74" s="69"/>
      <c r="E74" s="69"/>
      <c r="F74" s="69"/>
      <c r="G74" s="70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70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70"/>
      <c r="AP74" s="69"/>
      <c r="AQ74" s="69"/>
      <c r="AR74" s="69"/>
      <c r="AS74" s="69"/>
      <c r="AT74" s="69"/>
      <c r="AU74" s="69"/>
      <c r="AV74" s="69"/>
      <c r="AW74" s="69"/>
      <c r="AX74" s="69"/>
      <c r="AY74" s="69"/>
    </row>
    <row r="75" spans="1:51" ht="18.75" customHeight="1">
      <c r="A75" s="69"/>
      <c r="B75" s="69"/>
      <c r="C75" s="69"/>
      <c r="D75" s="69"/>
      <c r="E75" s="69"/>
      <c r="F75" s="69"/>
      <c r="G75" s="70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70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70"/>
      <c r="AP75" s="69"/>
      <c r="AQ75" s="69"/>
      <c r="AR75" s="69"/>
      <c r="AS75" s="69"/>
      <c r="AT75" s="69"/>
      <c r="AU75" s="69"/>
      <c r="AV75" s="69"/>
      <c r="AW75" s="69"/>
      <c r="AX75" s="69"/>
      <c r="AY75" s="69"/>
    </row>
    <row r="76" spans="1:51" ht="18.75" customHeight="1">
      <c r="A76" s="69"/>
      <c r="B76" s="69"/>
      <c r="C76" s="69"/>
      <c r="D76" s="69"/>
      <c r="E76" s="69"/>
      <c r="F76" s="69"/>
      <c r="G76" s="70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70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70"/>
      <c r="AP76" s="69"/>
      <c r="AQ76" s="69"/>
      <c r="AR76" s="69"/>
      <c r="AS76" s="69"/>
      <c r="AT76" s="69"/>
      <c r="AU76" s="69"/>
      <c r="AV76" s="69"/>
      <c r="AW76" s="69"/>
      <c r="AX76" s="69"/>
      <c r="AY76" s="69"/>
    </row>
    <row r="77" spans="1:51" ht="18.75" customHeight="1">
      <c r="A77" s="69"/>
      <c r="B77" s="69"/>
      <c r="C77" s="69"/>
      <c r="D77" s="69"/>
      <c r="E77" s="69"/>
      <c r="F77" s="69"/>
      <c r="G77" s="70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70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70"/>
      <c r="AP77" s="69"/>
      <c r="AQ77" s="69"/>
      <c r="AR77" s="69"/>
      <c r="AS77" s="69"/>
      <c r="AT77" s="69"/>
      <c r="AU77" s="69"/>
      <c r="AV77" s="69"/>
      <c r="AW77" s="69"/>
      <c r="AX77" s="69"/>
      <c r="AY77" s="69"/>
    </row>
    <row r="78" spans="1:51" ht="18.75" customHeight="1">
      <c r="A78" s="69"/>
      <c r="B78" s="69"/>
      <c r="C78" s="69"/>
      <c r="D78" s="69"/>
      <c r="E78" s="69"/>
      <c r="F78" s="69"/>
      <c r="G78" s="70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70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70"/>
      <c r="AP78" s="69"/>
      <c r="AQ78" s="69"/>
      <c r="AR78" s="69"/>
      <c r="AS78" s="69"/>
      <c r="AT78" s="69"/>
      <c r="AU78" s="69"/>
      <c r="AV78" s="69"/>
      <c r="AW78" s="69"/>
      <c r="AX78" s="69"/>
      <c r="AY78" s="69"/>
    </row>
    <row r="79" spans="1:51" ht="18.75" customHeight="1">
      <c r="A79" s="69"/>
      <c r="B79" s="69"/>
      <c r="C79" s="69"/>
      <c r="D79" s="69"/>
      <c r="E79" s="69"/>
      <c r="F79" s="69"/>
      <c r="G79" s="70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70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70"/>
      <c r="AP79" s="69"/>
      <c r="AQ79" s="69"/>
      <c r="AR79" s="69"/>
      <c r="AS79" s="69"/>
      <c r="AT79" s="69"/>
      <c r="AU79" s="69"/>
      <c r="AV79" s="69"/>
      <c r="AW79" s="69"/>
      <c r="AX79" s="69"/>
      <c r="AY79" s="69"/>
    </row>
    <row r="80" spans="1:51" ht="18.75" customHeight="1">
      <c r="A80" s="69"/>
      <c r="B80" s="69"/>
      <c r="C80" s="69"/>
      <c r="D80" s="69"/>
      <c r="E80" s="69"/>
      <c r="F80" s="69"/>
      <c r="G80" s="70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70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70"/>
      <c r="AP80" s="69"/>
      <c r="AQ80" s="69"/>
      <c r="AR80" s="69"/>
      <c r="AS80" s="69"/>
      <c r="AT80" s="69"/>
      <c r="AU80" s="69"/>
      <c r="AV80" s="69"/>
      <c r="AW80" s="69"/>
      <c r="AX80" s="69"/>
      <c r="AY80" s="69"/>
    </row>
    <row r="81" spans="1:51" ht="18.75" customHeight="1">
      <c r="A81" s="69"/>
      <c r="B81" s="69"/>
      <c r="C81" s="69"/>
      <c r="D81" s="69"/>
      <c r="E81" s="69"/>
      <c r="F81" s="69"/>
      <c r="G81" s="70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70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70"/>
      <c r="AP81" s="69"/>
      <c r="AQ81" s="69"/>
      <c r="AR81" s="69"/>
      <c r="AS81" s="69"/>
      <c r="AT81" s="69"/>
      <c r="AU81" s="69"/>
      <c r="AV81" s="69"/>
      <c r="AW81" s="69"/>
      <c r="AX81" s="69"/>
      <c r="AY81" s="69"/>
    </row>
    <row r="82" spans="1:51" ht="18.75" customHeight="1">
      <c r="A82" s="69"/>
      <c r="B82" s="69"/>
      <c r="C82" s="69"/>
      <c r="D82" s="69"/>
      <c r="E82" s="69"/>
      <c r="F82" s="69"/>
      <c r="G82" s="70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70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70"/>
      <c r="AP82" s="69"/>
      <c r="AQ82" s="69"/>
      <c r="AR82" s="69"/>
      <c r="AS82" s="69"/>
      <c r="AT82" s="69"/>
      <c r="AU82" s="69"/>
      <c r="AV82" s="69"/>
      <c r="AW82" s="69"/>
      <c r="AX82" s="69"/>
      <c r="AY82" s="69"/>
    </row>
    <row r="83" spans="1:51" ht="18.75" customHeight="1">
      <c r="A83" s="69"/>
      <c r="B83" s="69"/>
      <c r="C83" s="69"/>
      <c r="D83" s="69"/>
      <c r="E83" s="69"/>
      <c r="F83" s="69"/>
      <c r="G83" s="70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70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70"/>
      <c r="AP83" s="69"/>
      <c r="AQ83" s="69"/>
      <c r="AR83" s="69"/>
      <c r="AS83" s="69"/>
      <c r="AT83" s="69"/>
      <c r="AU83" s="69"/>
      <c r="AV83" s="69"/>
      <c r="AW83" s="69"/>
      <c r="AX83" s="69"/>
      <c r="AY83" s="69"/>
    </row>
    <row r="84" spans="1:51" ht="18.75" customHeight="1">
      <c r="A84" s="69"/>
      <c r="B84" s="69"/>
      <c r="C84" s="69"/>
      <c r="D84" s="69"/>
      <c r="E84" s="69"/>
      <c r="F84" s="69"/>
      <c r="G84" s="70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70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70"/>
      <c r="AP84" s="69"/>
      <c r="AQ84" s="69"/>
      <c r="AR84" s="69"/>
      <c r="AS84" s="69"/>
      <c r="AT84" s="69"/>
      <c r="AU84" s="69"/>
      <c r="AV84" s="69"/>
      <c r="AW84" s="69"/>
      <c r="AX84" s="69"/>
      <c r="AY84" s="69"/>
    </row>
    <row r="85" spans="1:51" ht="18.75" customHeight="1">
      <c r="A85" s="69"/>
      <c r="B85" s="69"/>
      <c r="C85" s="69"/>
      <c r="D85" s="69"/>
      <c r="E85" s="69"/>
      <c r="F85" s="69"/>
      <c r="G85" s="70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70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70"/>
      <c r="AP85" s="69"/>
      <c r="AQ85" s="69"/>
      <c r="AR85" s="69"/>
      <c r="AS85" s="69"/>
      <c r="AT85" s="69"/>
      <c r="AU85" s="69"/>
      <c r="AV85" s="69"/>
      <c r="AW85" s="69"/>
      <c r="AX85" s="69"/>
      <c r="AY85" s="69"/>
    </row>
  </sheetData>
  <sheetProtection formatCells="0" formatColumns="0" formatRows="0" insertColumns="0" insertRows="0" insertHyperlinks="0" deleteColumns="0" deleteRows="0" sort="0" autoFilter="0" pivotTables="0"/>
  <mergeCells count="321">
    <mergeCell ref="A5:F5"/>
    <mergeCell ref="AU9:AY11"/>
    <mergeCell ref="AU12:AY12"/>
    <mergeCell ref="H27:AI27"/>
    <mergeCell ref="AJ27:AN27"/>
    <mergeCell ref="V8:Z8"/>
    <mergeCell ref="AA8:AE8"/>
    <mergeCell ref="AP13:AT13"/>
    <mergeCell ref="AJ29:AL29"/>
    <mergeCell ref="AJ28:AL28"/>
    <mergeCell ref="AR29:AT29"/>
    <mergeCell ref="AU29:AY29"/>
    <mergeCell ref="H28:AI28"/>
    <mergeCell ref="A27:D27"/>
    <mergeCell ref="E27:G27"/>
    <mergeCell ref="A18:AY18"/>
    <mergeCell ref="A25:I25"/>
    <mergeCell ref="K25:O25"/>
    <mergeCell ref="J16:AO16"/>
    <mergeCell ref="J17:AO17"/>
    <mergeCell ref="AP17:AT17"/>
    <mergeCell ref="AP14:AT14"/>
    <mergeCell ref="AI25:AM25"/>
    <mergeCell ref="AR23:AX23"/>
    <mergeCell ref="A4:E4"/>
    <mergeCell ref="A1:E3"/>
    <mergeCell ref="AN1:AS1"/>
    <mergeCell ref="AN2:AS2"/>
    <mergeCell ref="AN3:AS3"/>
    <mergeCell ref="AN4:AS4"/>
    <mergeCell ref="AT1:AY1"/>
    <mergeCell ref="AT2:AY4"/>
    <mergeCell ref="F1:AK4"/>
    <mergeCell ref="A63:C63"/>
    <mergeCell ref="D63:E63"/>
    <mergeCell ref="F63:N63"/>
    <mergeCell ref="O63:W63"/>
    <mergeCell ref="X63:AF63"/>
    <mergeCell ref="A33:E35"/>
    <mergeCell ref="F33:AK36"/>
    <mergeCell ref="AN35:AS35"/>
    <mergeCell ref="A36:E36"/>
    <mergeCell ref="AN36:AS36"/>
    <mergeCell ref="AN33:AS34"/>
    <mergeCell ref="A61:C61"/>
    <mergeCell ref="D61:E61"/>
    <mergeCell ref="F61:N61"/>
    <mergeCell ref="O61:W61"/>
    <mergeCell ref="X61:AF61"/>
    <mergeCell ref="AH61:AP61"/>
    <mergeCell ref="AQ61:AY61"/>
    <mergeCell ref="A62:C62"/>
    <mergeCell ref="D62:E62"/>
    <mergeCell ref="F62:N62"/>
    <mergeCell ref="O62:W62"/>
    <mergeCell ref="X62:AF62"/>
    <mergeCell ref="AH62:AP62"/>
    <mergeCell ref="A60:C60"/>
    <mergeCell ref="D60:E60"/>
    <mergeCell ref="F60:N60"/>
    <mergeCell ref="O60:W60"/>
    <mergeCell ref="X60:AF60"/>
    <mergeCell ref="AH60:AP60"/>
    <mergeCell ref="AQ60:AY60"/>
    <mergeCell ref="A59:C59"/>
    <mergeCell ref="D59:E59"/>
    <mergeCell ref="F59:N59"/>
    <mergeCell ref="O59:W59"/>
    <mergeCell ref="X59:AF59"/>
    <mergeCell ref="AH59:AP59"/>
    <mergeCell ref="A53:C53"/>
    <mergeCell ref="A54:C54"/>
    <mergeCell ref="D54:E54"/>
    <mergeCell ref="F54:N54"/>
    <mergeCell ref="O54:W54"/>
    <mergeCell ref="X54:AF54"/>
    <mergeCell ref="AH54:AP54"/>
    <mergeCell ref="D53:E53"/>
    <mergeCell ref="D51:E51"/>
    <mergeCell ref="F51:N51"/>
    <mergeCell ref="A41:C41"/>
    <mergeCell ref="D41:E41"/>
    <mergeCell ref="A39:C39"/>
    <mergeCell ref="D39:E39"/>
    <mergeCell ref="F41:N41"/>
    <mergeCell ref="O41:W41"/>
    <mergeCell ref="X41:AF41"/>
    <mergeCell ref="AH41:AP41"/>
    <mergeCell ref="A46:C46"/>
    <mergeCell ref="D46:E46"/>
    <mergeCell ref="F46:N46"/>
    <mergeCell ref="O46:W46"/>
    <mergeCell ref="X46:AF46"/>
    <mergeCell ref="AH46:AP46"/>
    <mergeCell ref="A43:C43"/>
    <mergeCell ref="D43:E43"/>
    <mergeCell ref="F43:N43"/>
    <mergeCell ref="O43:W43"/>
    <mergeCell ref="D45:E45"/>
    <mergeCell ref="F45:N45"/>
    <mergeCell ref="O45:W45"/>
    <mergeCell ref="X45:AF45"/>
    <mergeCell ref="AH45:AP45"/>
    <mergeCell ref="A45:C45"/>
    <mergeCell ref="AO65:AS65"/>
    <mergeCell ref="AD64:AJ64"/>
    <mergeCell ref="AK64:AN64"/>
    <mergeCell ref="AO64:AS64"/>
    <mergeCell ref="X43:AF43"/>
    <mergeCell ref="AH43:AP43"/>
    <mergeCell ref="A44:C44"/>
    <mergeCell ref="D44:E44"/>
    <mergeCell ref="F44:N44"/>
    <mergeCell ref="O44:W44"/>
    <mergeCell ref="X44:AF44"/>
    <mergeCell ref="AH44:AP44"/>
    <mergeCell ref="AQ43:AY43"/>
    <mergeCell ref="X50:AF50"/>
    <mergeCell ref="AH50:AP50"/>
    <mergeCell ref="AQ52:AY52"/>
    <mergeCell ref="A52:C52"/>
    <mergeCell ref="D52:E52"/>
    <mergeCell ref="F52:N52"/>
    <mergeCell ref="O52:W52"/>
    <mergeCell ref="X52:AF52"/>
    <mergeCell ref="AH52:AP52"/>
    <mergeCell ref="X51:AF51"/>
    <mergeCell ref="AH51:AP51"/>
    <mergeCell ref="G65:L65"/>
    <mergeCell ref="M65:R65"/>
    <mergeCell ref="S65:W65"/>
    <mergeCell ref="X65:AC65"/>
    <mergeCell ref="AD65:AJ65"/>
    <mergeCell ref="AK65:AN65"/>
    <mergeCell ref="A55:C55"/>
    <mergeCell ref="D55:E55"/>
    <mergeCell ref="F55:N55"/>
    <mergeCell ref="O55:W55"/>
    <mergeCell ref="X55:AF55"/>
    <mergeCell ref="A56:C56"/>
    <mergeCell ref="D56:E56"/>
    <mergeCell ref="F56:N56"/>
    <mergeCell ref="O56:W56"/>
    <mergeCell ref="X56:AF56"/>
    <mergeCell ref="A57:C57"/>
    <mergeCell ref="D57:E57"/>
    <mergeCell ref="F57:N57"/>
    <mergeCell ref="O57:W57"/>
    <mergeCell ref="X57:AF57"/>
    <mergeCell ref="A58:C58"/>
    <mergeCell ref="D58:E58"/>
    <mergeCell ref="F58:N58"/>
    <mergeCell ref="AT65:AY65"/>
    <mergeCell ref="A48:C48"/>
    <mergeCell ref="D48:E48"/>
    <mergeCell ref="F48:N48"/>
    <mergeCell ref="O48:W48"/>
    <mergeCell ref="X48:AF48"/>
    <mergeCell ref="AH48:AP48"/>
    <mergeCell ref="AQ48:AY48"/>
    <mergeCell ref="A49:C49"/>
    <mergeCell ref="D49:E49"/>
    <mergeCell ref="F49:N49"/>
    <mergeCell ref="O49:W49"/>
    <mergeCell ref="X49:AF49"/>
    <mergeCell ref="AH49:AP49"/>
    <mergeCell ref="AQ49:AY49"/>
    <mergeCell ref="AQ51:AY51"/>
    <mergeCell ref="A50:C50"/>
    <mergeCell ref="D50:E50"/>
    <mergeCell ref="AQ50:AY50"/>
    <mergeCell ref="A51:C51"/>
    <mergeCell ref="AQ63:AY63"/>
    <mergeCell ref="O51:W51"/>
    <mergeCell ref="A64:F64"/>
    <mergeCell ref="A65:F65"/>
    <mergeCell ref="X40:AF40"/>
    <mergeCell ref="AH40:AP40"/>
    <mergeCell ref="AQ40:AY40"/>
    <mergeCell ref="D40:E40"/>
    <mergeCell ref="A40:C40"/>
    <mergeCell ref="F39:N39"/>
    <mergeCell ref="O39:W39"/>
    <mergeCell ref="X39:AF39"/>
    <mergeCell ref="AH39:AP39"/>
    <mergeCell ref="AT64:AY64"/>
    <mergeCell ref="F50:N50"/>
    <mergeCell ref="O50:W50"/>
    <mergeCell ref="G64:L64"/>
    <mergeCell ref="M64:R64"/>
    <mergeCell ref="S64:W64"/>
    <mergeCell ref="AH55:AP55"/>
    <mergeCell ref="AH63:AP63"/>
    <mergeCell ref="X64:AC64"/>
    <mergeCell ref="F53:N53"/>
    <mergeCell ref="O53:W53"/>
    <mergeCell ref="X53:AF53"/>
    <mergeCell ref="O58:W58"/>
    <mergeCell ref="X58:AF58"/>
    <mergeCell ref="AH58:AP58"/>
    <mergeCell ref="AQ62:AY62"/>
    <mergeCell ref="A42:C42"/>
    <mergeCell ref="A47:C47"/>
    <mergeCell ref="D47:E47"/>
    <mergeCell ref="AQ58:AY58"/>
    <mergeCell ref="AQ59:AY59"/>
    <mergeCell ref="AH53:AP53"/>
    <mergeCell ref="AQ39:AY39"/>
    <mergeCell ref="AQ41:AY41"/>
    <mergeCell ref="AQ46:AY46"/>
    <mergeCell ref="AQ54:AY54"/>
    <mergeCell ref="AQ53:AY53"/>
    <mergeCell ref="AH57:AP57"/>
    <mergeCell ref="AQ57:AY57"/>
    <mergeCell ref="AQ47:AY47"/>
    <mergeCell ref="AH47:AP47"/>
    <mergeCell ref="D42:E42"/>
    <mergeCell ref="F42:N42"/>
    <mergeCell ref="O42:W42"/>
    <mergeCell ref="X42:AF42"/>
    <mergeCell ref="AQ45:AY45"/>
    <mergeCell ref="AQ44:AY44"/>
    <mergeCell ref="AH42:AP42"/>
    <mergeCell ref="AQ42:AY42"/>
    <mergeCell ref="F40:N40"/>
    <mergeCell ref="AR30:AV30"/>
    <mergeCell ref="AR31:AT31"/>
    <mergeCell ref="H29:AI29"/>
    <mergeCell ref="AR32:AT32"/>
    <mergeCell ref="AU31:AY31"/>
    <mergeCell ref="AU32:AY32"/>
    <mergeCell ref="AW30:AY30"/>
    <mergeCell ref="AQ55:AY55"/>
    <mergeCell ref="AH56:AP56"/>
    <mergeCell ref="AQ56:AY56"/>
    <mergeCell ref="AT33:AY36"/>
    <mergeCell ref="AJ30:AN30"/>
    <mergeCell ref="AJ31:AL31"/>
    <mergeCell ref="AJ32:AL32"/>
    <mergeCell ref="F47:N47"/>
    <mergeCell ref="O47:W47"/>
    <mergeCell ref="X47:AF47"/>
    <mergeCell ref="A37:F37"/>
    <mergeCell ref="AA37:AE37"/>
    <mergeCell ref="AF37:AY37"/>
    <mergeCell ref="G37:Z37"/>
    <mergeCell ref="A38:F38"/>
    <mergeCell ref="G38:AY38"/>
    <mergeCell ref="O40:W40"/>
    <mergeCell ref="A32:D32"/>
    <mergeCell ref="E32:G32"/>
    <mergeCell ref="AM32:AQ32"/>
    <mergeCell ref="A29:D29"/>
    <mergeCell ref="E29:G29"/>
    <mergeCell ref="AM31:AQ31"/>
    <mergeCell ref="H32:AI32"/>
    <mergeCell ref="A28:D28"/>
    <mergeCell ref="E28:G28"/>
    <mergeCell ref="A31:D31"/>
    <mergeCell ref="AM29:AQ29"/>
    <mergeCell ref="AO30:AQ30"/>
    <mergeCell ref="H31:AI31"/>
    <mergeCell ref="A30:D30"/>
    <mergeCell ref="E30:G30"/>
    <mergeCell ref="H30:AI30"/>
    <mergeCell ref="E31:G31"/>
    <mergeCell ref="A26:AY26"/>
    <mergeCell ref="J14:AO14"/>
    <mergeCell ref="J15:AO15"/>
    <mergeCell ref="P23:V23"/>
    <mergeCell ref="W23:AC23"/>
    <mergeCell ref="AK23:AQ23"/>
    <mergeCell ref="AU16:AY16"/>
    <mergeCell ref="A23:H23"/>
    <mergeCell ref="I23:O23"/>
    <mergeCell ref="Q25:U25"/>
    <mergeCell ref="W25:AA25"/>
    <mergeCell ref="AD23:AJ23"/>
    <mergeCell ref="AF5:AY5"/>
    <mergeCell ref="G6:AY6"/>
    <mergeCell ref="G5:Z5"/>
    <mergeCell ref="AA5:AE5"/>
    <mergeCell ref="AM28:AQ28"/>
    <mergeCell ref="AR28:AT28"/>
    <mergeCell ref="AU28:AY28"/>
    <mergeCell ref="A7:AY7"/>
    <mergeCell ref="A8:F8"/>
    <mergeCell ref="G8:K8"/>
    <mergeCell ref="AU8:AY8"/>
    <mergeCell ref="A9:F11"/>
    <mergeCell ref="A12:F12"/>
    <mergeCell ref="G9:K11"/>
    <mergeCell ref="L9:P11"/>
    <mergeCell ref="Q9:U11"/>
    <mergeCell ref="AO27:AQ27"/>
    <mergeCell ref="AR27:AV27"/>
    <mergeCell ref="AP15:AY15"/>
    <mergeCell ref="AP16:AT16"/>
    <mergeCell ref="AU17:AY17"/>
    <mergeCell ref="AW27:AY27"/>
    <mergeCell ref="AC25:AG25"/>
    <mergeCell ref="A13:AO13"/>
    <mergeCell ref="L8:P8"/>
    <mergeCell ref="V9:Z11"/>
    <mergeCell ref="Q8:U8"/>
    <mergeCell ref="A6:F6"/>
    <mergeCell ref="G12:K12"/>
    <mergeCell ref="AP8:AT8"/>
    <mergeCell ref="L12:P12"/>
    <mergeCell ref="Q12:U12"/>
    <mergeCell ref="V12:Z12"/>
    <mergeCell ref="AA9:AE11"/>
    <mergeCell ref="AF9:AJ11"/>
    <mergeCell ref="AK9:AO11"/>
    <mergeCell ref="AA12:AE12"/>
    <mergeCell ref="AK12:AO12"/>
    <mergeCell ref="AP12:AT12"/>
    <mergeCell ref="AP9:AT11"/>
    <mergeCell ref="AF12:AJ12"/>
    <mergeCell ref="AF8:AJ8"/>
    <mergeCell ref="AK8:AO8"/>
  </mergeCells>
  <phoneticPr fontId="2" type="noConversion"/>
  <pageMargins left="0.27559055118110237" right="0.27559055118110237" top="0.35433070866141736" bottom="0.23622047244094491" header="0.35433070866141736" footer="0.23622047244094491"/>
  <pageSetup paperSize="9" scale="91" orientation="landscape" r:id="rId1"/>
  <headerFooter alignWithMargins="0">
    <oddFooter>&amp;R&amp;8Durée de conservation: vie du produit / Platnosť: životnosť produktu</oddFooter>
  </headerFooter>
  <rowBreaks count="1" manualBreakCount="1">
    <brk id="32" max="5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39" r:id="rId4" name="Check Box 43">
              <controlPr defaultSize="0" autoFill="0" autoLine="0" autoPict="0">
                <anchor moveWithCells="1">
                  <from>
                    <xdr:col>48</xdr:col>
                    <xdr:colOff>76200</xdr:colOff>
                    <xdr:row>34</xdr:row>
                    <xdr:rowOff>28575</xdr:rowOff>
                  </from>
                  <to>
                    <xdr:col>49</xdr:col>
                    <xdr:colOff>180975</xdr:colOff>
                    <xdr:row>35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5" name="Check Box 44">
              <controlPr defaultSize="0" autoFill="0" autoLine="0" autoPict="0">
                <anchor moveWithCells="1">
                  <from>
                    <xdr:col>48</xdr:col>
                    <xdr:colOff>76200</xdr:colOff>
                    <xdr:row>32</xdr:row>
                    <xdr:rowOff>104775</xdr:rowOff>
                  </from>
                  <to>
                    <xdr:col>49</xdr:col>
                    <xdr:colOff>180975</xdr:colOff>
                    <xdr:row>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6" name="Check Box 35">
              <controlPr defaultSize="0" autoFill="0" autoLine="0" autoPict="0">
                <anchor moveWithCells="1">
                  <from>
                    <xdr:col>48</xdr:col>
                    <xdr:colOff>123825</xdr:colOff>
                    <xdr:row>2</xdr:row>
                    <xdr:rowOff>114300</xdr:rowOff>
                  </from>
                  <to>
                    <xdr:col>49</xdr:col>
                    <xdr:colOff>190500</xdr:colOff>
                    <xdr:row>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7" name="Check Box 36">
              <controlPr defaultSize="0" autoFill="0" autoLine="0" autoPict="0">
                <anchor moveWithCells="1">
                  <from>
                    <xdr:col>48</xdr:col>
                    <xdr:colOff>123825</xdr:colOff>
                    <xdr:row>1</xdr:row>
                    <xdr:rowOff>66675</xdr:rowOff>
                  </from>
                  <to>
                    <xdr:col>49</xdr:col>
                    <xdr:colOff>190500</xdr:colOff>
                    <xdr:row>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8" name="Check Box 47">
              <controlPr defaultSize="0" autoFill="0" autoLine="0" autoPict="0">
                <anchor moveWithCells="1">
                  <from>
                    <xdr:col>45</xdr:col>
                    <xdr:colOff>200025</xdr:colOff>
                    <xdr:row>12</xdr:row>
                    <xdr:rowOff>9525</xdr:rowOff>
                  </from>
                  <to>
                    <xdr:col>47</xdr:col>
                    <xdr:colOff>57150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9" name="Check Box 48">
              <controlPr defaultSize="0" autoFill="0" autoLine="0" autoPict="0">
                <anchor moveWithCells="1">
                  <from>
                    <xdr:col>45</xdr:col>
                    <xdr:colOff>200025</xdr:colOff>
                    <xdr:row>13</xdr:row>
                    <xdr:rowOff>19050</xdr:rowOff>
                  </from>
                  <to>
                    <xdr:col>47</xdr:col>
                    <xdr:colOff>66675</xdr:colOff>
                    <xdr:row>13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10" name="Check Box 49">
              <controlPr defaultSize="0" autoFill="0" autoLine="0" autoPict="0">
                <anchor moveWithCells="1">
                  <from>
                    <xdr:col>48</xdr:col>
                    <xdr:colOff>28575</xdr:colOff>
                    <xdr:row>12</xdr:row>
                    <xdr:rowOff>9525</xdr:rowOff>
                  </from>
                  <to>
                    <xdr:col>49</xdr:col>
                    <xdr:colOff>85725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11" name="Check Box 50">
              <controlPr defaultSize="0" autoFill="0" autoLine="0" autoPict="0">
                <anchor moveWithCells="1">
                  <from>
                    <xdr:col>48</xdr:col>
                    <xdr:colOff>19050</xdr:colOff>
                    <xdr:row>13</xdr:row>
                    <xdr:rowOff>19050</xdr:rowOff>
                  </from>
                  <to>
                    <xdr:col>49</xdr:col>
                    <xdr:colOff>85725</xdr:colOff>
                    <xdr:row>13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12" name="Button 55">
              <controlPr defaultSize="0" print="0" autoFill="0" autoPict="0" macro="[0]!Feuil1.Add_Page">
                <anchor moveWithCells="1">
                  <from>
                    <xdr:col>51</xdr:col>
                    <xdr:colOff>200025</xdr:colOff>
                    <xdr:row>18</xdr:row>
                    <xdr:rowOff>161925</xdr:rowOff>
                  </from>
                  <to>
                    <xdr:col>60</xdr:col>
                    <xdr:colOff>0</xdr:colOff>
                    <xdr:row>21</xdr:row>
                    <xdr:rowOff>209550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Translation!$O$2:$O$8</xm:f>
          </x14:formula1>
          <xm:sqref>AT1:AY1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A32"/>
  <sheetViews>
    <sheetView showGridLines="0" view="pageBreakPreview" zoomScale="85" zoomScaleNormal="85" zoomScaleSheetLayoutView="70" workbookViewId="0">
      <selection activeCell="AC14" sqref="AC14"/>
    </sheetView>
  </sheetViews>
  <sheetFormatPr baseColWidth="10" defaultColWidth="9.140625" defaultRowHeight="15"/>
  <cols>
    <col min="1" max="12" width="3.28515625" style="1" customWidth="1"/>
    <col min="13" max="16384" width="9.140625" style="1"/>
  </cols>
  <sheetData>
    <row r="1" ht="14.25" customHeight="1"/>
    <row r="2" ht="14.25" customHeight="1"/>
    <row r="3" ht="14.25" customHeight="1"/>
    <row r="4" ht="14.25" customHeight="1"/>
    <row r="5" ht="17.25" customHeight="1"/>
    <row r="6" ht="17.25" customHeight="1"/>
    <row r="7" ht="17.2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8.75" customHeight="1"/>
    <row r="32" ht="18.75" customHeight="1"/>
  </sheetData>
  <phoneticPr fontId="2" type="noConversion"/>
  <pageMargins left="0.28000000000000003" right="0.27" top="0.36" bottom="0.22" header="0.36" footer="0.22"/>
  <pageSetup paperSize="9" scale="9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N35"/>
  <sheetViews>
    <sheetView showGridLines="0" workbookViewId="0">
      <selection activeCell="D20" sqref="D20"/>
    </sheetView>
  </sheetViews>
  <sheetFormatPr baseColWidth="10" defaultColWidth="11.5703125" defaultRowHeight="12.75"/>
  <cols>
    <col min="1" max="4" width="8.42578125" style="27" customWidth="1"/>
    <col min="5" max="7" width="9.7109375" style="27" customWidth="1"/>
    <col min="8" max="14" width="8.42578125" style="27" customWidth="1"/>
    <col min="15" max="22" width="11.42578125" style="27"/>
    <col min="23" max="23" width="11.42578125" style="27" customWidth="1"/>
    <col min="24" max="256" width="11.42578125" style="27"/>
    <col min="257" max="260" width="8.42578125" style="27" customWidth="1"/>
    <col min="261" max="263" width="9.7109375" style="27" customWidth="1"/>
    <col min="264" max="270" width="8.42578125" style="27" customWidth="1"/>
    <col min="271" max="278" width="11.42578125" style="27"/>
    <col min="279" max="279" width="11.42578125" style="27" customWidth="1"/>
    <col min="280" max="512" width="11.42578125" style="27"/>
    <col min="513" max="516" width="8.42578125" style="27" customWidth="1"/>
    <col min="517" max="519" width="9.7109375" style="27" customWidth="1"/>
    <col min="520" max="526" width="8.42578125" style="27" customWidth="1"/>
    <col min="527" max="534" width="11.42578125" style="27"/>
    <col min="535" max="535" width="11.42578125" style="27" customWidth="1"/>
    <col min="536" max="768" width="11.42578125" style="27"/>
    <col min="769" max="772" width="8.42578125" style="27" customWidth="1"/>
    <col min="773" max="775" width="9.7109375" style="27" customWidth="1"/>
    <col min="776" max="782" width="8.42578125" style="27" customWidth="1"/>
    <col min="783" max="790" width="11.42578125" style="27"/>
    <col min="791" max="791" width="11.42578125" style="27" customWidth="1"/>
    <col min="792" max="1024" width="11.42578125" style="27"/>
    <col min="1025" max="1028" width="8.42578125" style="27" customWidth="1"/>
    <col min="1029" max="1031" width="9.7109375" style="27" customWidth="1"/>
    <col min="1032" max="1038" width="8.42578125" style="27" customWidth="1"/>
    <col min="1039" max="1046" width="11.42578125" style="27"/>
    <col min="1047" max="1047" width="11.42578125" style="27" customWidth="1"/>
    <col min="1048" max="1280" width="11.42578125" style="27"/>
    <col min="1281" max="1284" width="8.42578125" style="27" customWidth="1"/>
    <col min="1285" max="1287" width="9.7109375" style="27" customWidth="1"/>
    <col min="1288" max="1294" width="8.42578125" style="27" customWidth="1"/>
    <col min="1295" max="1302" width="11.42578125" style="27"/>
    <col min="1303" max="1303" width="11.42578125" style="27" customWidth="1"/>
    <col min="1304" max="1536" width="11.42578125" style="27"/>
    <col min="1537" max="1540" width="8.42578125" style="27" customWidth="1"/>
    <col min="1541" max="1543" width="9.7109375" style="27" customWidth="1"/>
    <col min="1544" max="1550" width="8.42578125" style="27" customWidth="1"/>
    <col min="1551" max="1558" width="11.42578125" style="27"/>
    <col min="1559" max="1559" width="11.42578125" style="27" customWidth="1"/>
    <col min="1560" max="1792" width="11.42578125" style="27"/>
    <col min="1793" max="1796" width="8.42578125" style="27" customWidth="1"/>
    <col min="1797" max="1799" width="9.7109375" style="27" customWidth="1"/>
    <col min="1800" max="1806" width="8.42578125" style="27" customWidth="1"/>
    <col min="1807" max="1814" width="11.42578125" style="27"/>
    <col min="1815" max="1815" width="11.42578125" style="27" customWidth="1"/>
    <col min="1816" max="2048" width="11.42578125" style="27"/>
    <col min="2049" max="2052" width="8.42578125" style="27" customWidth="1"/>
    <col min="2053" max="2055" width="9.7109375" style="27" customWidth="1"/>
    <col min="2056" max="2062" width="8.42578125" style="27" customWidth="1"/>
    <col min="2063" max="2070" width="11.42578125" style="27"/>
    <col min="2071" max="2071" width="11.42578125" style="27" customWidth="1"/>
    <col min="2072" max="2304" width="11.42578125" style="27"/>
    <col min="2305" max="2308" width="8.42578125" style="27" customWidth="1"/>
    <col min="2309" max="2311" width="9.7109375" style="27" customWidth="1"/>
    <col min="2312" max="2318" width="8.42578125" style="27" customWidth="1"/>
    <col min="2319" max="2326" width="11.42578125" style="27"/>
    <col min="2327" max="2327" width="11.42578125" style="27" customWidth="1"/>
    <col min="2328" max="2560" width="11.42578125" style="27"/>
    <col min="2561" max="2564" width="8.42578125" style="27" customWidth="1"/>
    <col min="2565" max="2567" width="9.7109375" style="27" customWidth="1"/>
    <col min="2568" max="2574" width="8.42578125" style="27" customWidth="1"/>
    <col min="2575" max="2582" width="11.42578125" style="27"/>
    <col min="2583" max="2583" width="11.42578125" style="27" customWidth="1"/>
    <col min="2584" max="2816" width="11.42578125" style="27"/>
    <col min="2817" max="2820" width="8.42578125" style="27" customWidth="1"/>
    <col min="2821" max="2823" width="9.7109375" style="27" customWidth="1"/>
    <col min="2824" max="2830" width="8.42578125" style="27" customWidth="1"/>
    <col min="2831" max="2838" width="11.42578125" style="27"/>
    <col min="2839" max="2839" width="11.42578125" style="27" customWidth="1"/>
    <col min="2840" max="3072" width="11.42578125" style="27"/>
    <col min="3073" max="3076" width="8.42578125" style="27" customWidth="1"/>
    <col min="3077" max="3079" width="9.7109375" style="27" customWidth="1"/>
    <col min="3080" max="3086" width="8.42578125" style="27" customWidth="1"/>
    <col min="3087" max="3094" width="11.42578125" style="27"/>
    <col min="3095" max="3095" width="11.42578125" style="27" customWidth="1"/>
    <col min="3096" max="3328" width="11.42578125" style="27"/>
    <col min="3329" max="3332" width="8.42578125" style="27" customWidth="1"/>
    <col min="3333" max="3335" width="9.7109375" style="27" customWidth="1"/>
    <col min="3336" max="3342" width="8.42578125" style="27" customWidth="1"/>
    <col min="3343" max="3350" width="11.42578125" style="27"/>
    <col min="3351" max="3351" width="11.42578125" style="27" customWidth="1"/>
    <col min="3352" max="3584" width="11.42578125" style="27"/>
    <col min="3585" max="3588" width="8.42578125" style="27" customWidth="1"/>
    <col min="3589" max="3591" width="9.7109375" style="27" customWidth="1"/>
    <col min="3592" max="3598" width="8.42578125" style="27" customWidth="1"/>
    <col min="3599" max="3606" width="11.42578125" style="27"/>
    <col min="3607" max="3607" width="11.42578125" style="27" customWidth="1"/>
    <col min="3608" max="3840" width="11.42578125" style="27"/>
    <col min="3841" max="3844" width="8.42578125" style="27" customWidth="1"/>
    <col min="3845" max="3847" width="9.7109375" style="27" customWidth="1"/>
    <col min="3848" max="3854" width="8.42578125" style="27" customWidth="1"/>
    <col min="3855" max="3862" width="11.42578125" style="27"/>
    <col min="3863" max="3863" width="11.42578125" style="27" customWidth="1"/>
    <col min="3864" max="4096" width="11.42578125" style="27"/>
    <col min="4097" max="4100" width="8.42578125" style="27" customWidth="1"/>
    <col min="4101" max="4103" width="9.7109375" style="27" customWidth="1"/>
    <col min="4104" max="4110" width="8.42578125" style="27" customWidth="1"/>
    <col min="4111" max="4118" width="11.42578125" style="27"/>
    <col min="4119" max="4119" width="11.42578125" style="27" customWidth="1"/>
    <col min="4120" max="4352" width="11.42578125" style="27"/>
    <col min="4353" max="4356" width="8.42578125" style="27" customWidth="1"/>
    <col min="4357" max="4359" width="9.7109375" style="27" customWidth="1"/>
    <col min="4360" max="4366" width="8.42578125" style="27" customWidth="1"/>
    <col min="4367" max="4374" width="11.42578125" style="27"/>
    <col min="4375" max="4375" width="11.42578125" style="27" customWidth="1"/>
    <col min="4376" max="4608" width="11.42578125" style="27"/>
    <col min="4609" max="4612" width="8.42578125" style="27" customWidth="1"/>
    <col min="4613" max="4615" width="9.7109375" style="27" customWidth="1"/>
    <col min="4616" max="4622" width="8.42578125" style="27" customWidth="1"/>
    <col min="4623" max="4630" width="11.42578125" style="27"/>
    <col min="4631" max="4631" width="11.42578125" style="27" customWidth="1"/>
    <col min="4632" max="4864" width="11.42578125" style="27"/>
    <col min="4865" max="4868" width="8.42578125" style="27" customWidth="1"/>
    <col min="4869" max="4871" width="9.7109375" style="27" customWidth="1"/>
    <col min="4872" max="4878" width="8.42578125" style="27" customWidth="1"/>
    <col min="4879" max="4886" width="11.42578125" style="27"/>
    <col min="4887" max="4887" width="11.42578125" style="27" customWidth="1"/>
    <col min="4888" max="5120" width="11.42578125" style="27"/>
    <col min="5121" max="5124" width="8.42578125" style="27" customWidth="1"/>
    <col min="5125" max="5127" width="9.7109375" style="27" customWidth="1"/>
    <col min="5128" max="5134" width="8.42578125" style="27" customWidth="1"/>
    <col min="5135" max="5142" width="11.42578125" style="27"/>
    <col min="5143" max="5143" width="11.42578125" style="27" customWidth="1"/>
    <col min="5144" max="5376" width="11.42578125" style="27"/>
    <col min="5377" max="5380" width="8.42578125" style="27" customWidth="1"/>
    <col min="5381" max="5383" width="9.7109375" style="27" customWidth="1"/>
    <col min="5384" max="5390" width="8.42578125" style="27" customWidth="1"/>
    <col min="5391" max="5398" width="11.42578125" style="27"/>
    <col min="5399" max="5399" width="11.42578125" style="27" customWidth="1"/>
    <col min="5400" max="5632" width="11.42578125" style="27"/>
    <col min="5633" max="5636" width="8.42578125" style="27" customWidth="1"/>
    <col min="5637" max="5639" width="9.7109375" style="27" customWidth="1"/>
    <col min="5640" max="5646" width="8.42578125" style="27" customWidth="1"/>
    <col min="5647" max="5654" width="11.42578125" style="27"/>
    <col min="5655" max="5655" width="11.42578125" style="27" customWidth="1"/>
    <col min="5656" max="5888" width="11.42578125" style="27"/>
    <col min="5889" max="5892" width="8.42578125" style="27" customWidth="1"/>
    <col min="5893" max="5895" width="9.7109375" style="27" customWidth="1"/>
    <col min="5896" max="5902" width="8.42578125" style="27" customWidth="1"/>
    <col min="5903" max="5910" width="11.42578125" style="27"/>
    <col min="5911" max="5911" width="11.42578125" style="27" customWidth="1"/>
    <col min="5912" max="6144" width="11.42578125" style="27"/>
    <col min="6145" max="6148" width="8.42578125" style="27" customWidth="1"/>
    <col min="6149" max="6151" width="9.7109375" style="27" customWidth="1"/>
    <col min="6152" max="6158" width="8.42578125" style="27" customWidth="1"/>
    <col min="6159" max="6166" width="11.42578125" style="27"/>
    <col min="6167" max="6167" width="11.42578125" style="27" customWidth="1"/>
    <col min="6168" max="6400" width="11.42578125" style="27"/>
    <col min="6401" max="6404" width="8.42578125" style="27" customWidth="1"/>
    <col min="6405" max="6407" width="9.7109375" style="27" customWidth="1"/>
    <col min="6408" max="6414" width="8.42578125" style="27" customWidth="1"/>
    <col min="6415" max="6422" width="11.42578125" style="27"/>
    <col min="6423" max="6423" width="11.42578125" style="27" customWidth="1"/>
    <col min="6424" max="6656" width="11.42578125" style="27"/>
    <col min="6657" max="6660" width="8.42578125" style="27" customWidth="1"/>
    <col min="6661" max="6663" width="9.7109375" style="27" customWidth="1"/>
    <col min="6664" max="6670" width="8.42578125" style="27" customWidth="1"/>
    <col min="6671" max="6678" width="11.42578125" style="27"/>
    <col min="6679" max="6679" width="11.42578125" style="27" customWidth="1"/>
    <col min="6680" max="6912" width="11.42578125" style="27"/>
    <col min="6913" max="6916" width="8.42578125" style="27" customWidth="1"/>
    <col min="6917" max="6919" width="9.7109375" style="27" customWidth="1"/>
    <col min="6920" max="6926" width="8.42578125" style="27" customWidth="1"/>
    <col min="6927" max="6934" width="11.42578125" style="27"/>
    <col min="6935" max="6935" width="11.42578125" style="27" customWidth="1"/>
    <col min="6936" max="7168" width="11.42578125" style="27"/>
    <col min="7169" max="7172" width="8.42578125" style="27" customWidth="1"/>
    <col min="7173" max="7175" width="9.7109375" style="27" customWidth="1"/>
    <col min="7176" max="7182" width="8.42578125" style="27" customWidth="1"/>
    <col min="7183" max="7190" width="11.42578125" style="27"/>
    <col min="7191" max="7191" width="11.42578125" style="27" customWidth="1"/>
    <col min="7192" max="7424" width="11.42578125" style="27"/>
    <col min="7425" max="7428" width="8.42578125" style="27" customWidth="1"/>
    <col min="7429" max="7431" width="9.7109375" style="27" customWidth="1"/>
    <col min="7432" max="7438" width="8.42578125" style="27" customWidth="1"/>
    <col min="7439" max="7446" width="11.42578125" style="27"/>
    <col min="7447" max="7447" width="11.42578125" style="27" customWidth="1"/>
    <col min="7448" max="7680" width="11.42578125" style="27"/>
    <col min="7681" max="7684" width="8.42578125" style="27" customWidth="1"/>
    <col min="7685" max="7687" width="9.7109375" style="27" customWidth="1"/>
    <col min="7688" max="7694" width="8.42578125" style="27" customWidth="1"/>
    <col min="7695" max="7702" width="11.42578125" style="27"/>
    <col min="7703" max="7703" width="11.42578125" style="27" customWidth="1"/>
    <col min="7704" max="7936" width="11.42578125" style="27"/>
    <col min="7937" max="7940" width="8.42578125" style="27" customWidth="1"/>
    <col min="7941" max="7943" width="9.7109375" style="27" customWidth="1"/>
    <col min="7944" max="7950" width="8.42578125" style="27" customWidth="1"/>
    <col min="7951" max="7958" width="11.42578125" style="27"/>
    <col min="7959" max="7959" width="11.42578125" style="27" customWidth="1"/>
    <col min="7960" max="8192" width="11.42578125" style="27"/>
    <col min="8193" max="8196" width="8.42578125" style="27" customWidth="1"/>
    <col min="8197" max="8199" width="9.7109375" style="27" customWidth="1"/>
    <col min="8200" max="8206" width="8.42578125" style="27" customWidth="1"/>
    <col min="8207" max="8214" width="11.42578125" style="27"/>
    <col min="8215" max="8215" width="11.42578125" style="27" customWidth="1"/>
    <col min="8216" max="8448" width="11.42578125" style="27"/>
    <col min="8449" max="8452" width="8.42578125" style="27" customWidth="1"/>
    <col min="8453" max="8455" width="9.7109375" style="27" customWidth="1"/>
    <col min="8456" max="8462" width="8.42578125" style="27" customWidth="1"/>
    <col min="8463" max="8470" width="11.42578125" style="27"/>
    <col min="8471" max="8471" width="11.42578125" style="27" customWidth="1"/>
    <col min="8472" max="8704" width="11.42578125" style="27"/>
    <col min="8705" max="8708" width="8.42578125" style="27" customWidth="1"/>
    <col min="8709" max="8711" width="9.7109375" style="27" customWidth="1"/>
    <col min="8712" max="8718" width="8.42578125" style="27" customWidth="1"/>
    <col min="8719" max="8726" width="11.42578125" style="27"/>
    <col min="8727" max="8727" width="11.42578125" style="27" customWidth="1"/>
    <col min="8728" max="8960" width="11.42578125" style="27"/>
    <col min="8961" max="8964" width="8.42578125" style="27" customWidth="1"/>
    <col min="8965" max="8967" width="9.7109375" style="27" customWidth="1"/>
    <col min="8968" max="8974" width="8.42578125" style="27" customWidth="1"/>
    <col min="8975" max="8982" width="11.42578125" style="27"/>
    <col min="8983" max="8983" width="11.42578125" style="27" customWidth="1"/>
    <col min="8984" max="9216" width="11.42578125" style="27"/>
    <col min="9217" max="9220" width="8.42578125" style="27" customWidth="1"/>
    <col min="9221" max="9223" width="9.7109375" style="27" customWidth="1"/>
    <col min="9224" max="9230" width="8.42578125" style="27" customWidth="1"/>
    <col min="9231" max="9238" width="11.42578125" style="27"/>
    <col min="9239" max="9239" width="11.42578125" style="27" customWidth="1"/>
    <col min="9240" max="9472" width="11.42578125" style="27"/>
    <col min="9473" max="9476" width="8.42578125" style="27" customWidth="1"/>
    <col min="9477" max="9479" width="9.7109375" style="27" customWidth="1"/>
    <col min="9480" max="9486" width="8.42578125" style="27" customWidth="1"/>
    <col min="9487" max="9494" width="11.42578125" style="27"/>
    <col min="9495" max="9495" width="11.42578125" style="27" customWidth="1"/>
    <col min="9496" max="9728" width="11.42578125" style="27"/>
    <col min="9729" max="9732" width="8.42578125" style="27" customWidth="1"/>
    <col min="9733" max="9735" width="9.7109375" style="27" customWidth="1"/>
    <col min="9736" max="9742" width="8.42578125" style="27" customWidth="1"/>
    <col min="9743" max="9750" width="11.42578125" style="27"/>
    <col min="9751" max="9751" width="11.42578125" style="27" customWidth="1"/>
    <col min="9752" max="9984" width="11.42578125" style="27"/>
    <col min="9985" max="9988" width="8.42578125" style="27" customWidth="1"/>
    <col min="9989" max="9991" width="9.7109375" style="27" customWidth="1"/>
    <col min="9992" max="9998" width="8.42578125" style="27" customWidth="1"/>
    <col min="9999" max="10006" width="11.42578125" style="27"/>
    <col min="10007" max="10007" width="11.42578125" style="27" customWidth="1"/>
    <col min="10008" max="10240" width="11.42578125" style="27"/>
    <col min="10241" max="10244" width="8.42578125" style="27" customWidth="1"/>
    <col min="10245" max="10247" width="9.7109375" style="27" customWidth="1"/>
    <col min="10248" max="10254" width="8.42578125" style="27" customWidth="1"/>
    <col min="10255" max="10262" width="11.42578125" style="27"/>
    <col min="10263" max="10263" width="11.42578125" style="27" customWidth="1"/>
    <col min="10264" max="10496" width="11.42578125" style="27"/>
    <col min="10497" max="10500" width="8.42578125" style="27" customWidth="1"/>
    <col min="10501" max="10503" width="9.7109375" style="27" customWidth="1"/>
    <col min="10504" max="10510" width="8.42578125" style="27" customWidth="1"/>
    <col min="10511" max="10518" width="11.42578125" style="27"/>
    <col min="10519" max="10519" width="11.42578125" style="27" customWidth="1"/>
    <col min="10520" max="10752" width="11.42578125" style="27"/>
    <col min="10753" max="10756" width="8.42578125" style="27" customWidth="1"/>
    <col min="10757" max="10759" width="9.7109375" style="27" customWidth="1"/>
    <col min="10760" max="10766" width="8.42578125" style="27" customWidth="1"/>
    <col min="10767" max="10774" width="11.42578125" style="27"/>
    <col min="10775" max="10775" width="11.42578125" style="27" customWidth="1"/>
    <col min="10776" max="11008" width="11.42578125" style="27"/>
    <col min="11009" max="11012" width="8.42578125" style="27" customWidth="1"/>
    <col min="11013" max="11015" width="9.7109375" style="27" customWidth="1"/>
    <col min="11016" max="11022" width="8.42578125" style="27" customWidth="1"/>
    <col min="11023" max="11030" width="11.42578125" style="27"/>
    <col min="11031" max="11031" width="11.42578125" style="27" customWidth="1"/>
    <col min="11032" max="11264" width="11.42578125" style="27"/>
    <col min="11265" max="11268" width="8.42578125" style="27" customWidth="1"/>
    <col min="11269" max="11271" width="9.7109375" style="27" customWidth="1"/>
    <col min="11272" max="11278" width="8.42578125" style="27" customWidth="1"/>
    <col min="11279" max="11286" width="11.42578125" style="27"/>
    <col min="11287" max="11287" width="11.42578125" style="27" customWidth="1"/>
    <col min="11288" max="11520" width="11.42578125" style="27"/>
    <col min="11521" max="11524" width="8.42578125" style="27" customWidth="1"/>
    <col min="11525" max="11527" width="9.7109375" style="27" customWidth="1"/>
    <col min="11528" max="11534" width="8.42578125" style="27" customWidth="1"/>
    <col min="11535" max="11542" width="11.42578125" style="27"/>
    <col min="11543" max="11543" width="11.42578125" style="27" customWidth="1"/>
    <col min="11544" max="11776" width="11.42578125" style="27"/>
    <col min="11777" max="11780" width="8.42578125" style="27" customWidth="1"/>
    <col min="11781" max="11783" width="9.7109375" style="27" customWidth="1"/>
    <col min="11784" max="11790" width="8.42578125" style="27" customWidth="1"/>
    <col min="11791" max="11798" width="11.42578125" style="27"/>
    <col min="11799" max="11799" width="11.42578125" style="27" customWidth="1"/>
    <col min="11800" max="12032" width="11.42578125" style="27"/>
    <col min="12033" max="12036" width="8.42578125" style="27" customWidth="1"/>
    <col min="12037" max="12039" width="9.7109375" style="27" customWidth="1"/>
    <col min="12040" max="12046" width="8.42578125" style="27" customWidth="1"/>
    <col min="12047" max="12054" width="11.42578125" style="27"/>
    <col min="12055" max="12055" width="11.42578125" style="27" customWidth="1"/>
    <col min="12056" max="12288" width="11.42578125" style="27"/>
    <col min="12289" max="12292" width="8.42578125" style="27" customWidth="1"/>
    <col min="12293" max="12295" width="9.7109375" style="27" customWidth="1"/>
    <col min="12296" max="12302" width="8.42578125" style="27" customWidth="1"/>
    <col min="12303" max="12310" width="11.42578125" style="27"/>
    <col min="12311" max="12311" width="11.42578125" style="27" customWidth="1"/>
    <col min="12312" max="12544" width="11.42578125" style="27"/>
    <col min="12545" max="12548" width="8.42578125" style="27" customWidth="1"/>
    <col min="12549" max="12551" width="9.7109375" style="27" customWidth="1"/>
    <col min="12552" max="12558" width="8.42578125" style="27" customWidth="1"/>
    <col min="12559" max="12566" width="11.42578125" style="27"/>
    <col min="12567" max="12567" width="11.42578125" style="27" customWidth="1"/>
    <col min="12568" max="12800" width="11.42578125" style="27"/>
    <col min="12801" max="12804" width="8.42578125" style="27" customWidth="1"/>
    <col min="12805" max="12807" width="9.7109375" style="27" customWidth="1"/>
    <col min="12808" max="12814" width="8.42578125" style="27" customWidth="1"/>
    <col min="12815" max="12822" width="11.42578125" style="27"/>
    <col min="12823" max="12823" width="11.42578125" style="27" customWidth="1"/>
    <col min="12824" max="13056" width="11.42578125" style="27"/>
    <col min="13057" max="13060" width="8.42578125" style="27" customWidth="1"/>
    <col min="13061" max="13063" width="9.7109375" style="27" customWidth="1"/>
    <col min="13064" max="13070" width="8.42578125" style="27" customWidth="1"/>
    <col min="13071" max="13078" width="11.42578125" style="27"/>
    <col min="13079" max="13079" width="11.42578125" style="27" customWidth="1"/>
    <col min="13080" max="13312" width="11.42578125" style="27"/>
    <col min="13313" max="13316" width="8.42578125" style="27" customWidth="1"/>
    <col min="13317" max="13319" width="9.7109375" style="27" customWidth="1"/>
    <col min="13320" max="13326" width="8.42578125" style="27" customWidth="1"/>
    <col min="13327" max="13334" width="11.42578125" style="27"/>
    <col min="13335" max="13335" width="11.42578125" style="27" customWidth="1"/>
    <col min="13336" max="13568" width="11.42578125" style="27"/>
    <col min="13569" max="13572" width="8.42578125" style="27" customWidth="1"/>
    <col min="13573" max="13575" width="9.7109375" style="27" customWidth="1"/>
    <col min="13576" max="13582" width="8.42578125" style="27" customWidth="1"/>
    <col min="13583" max="13590" width="11.42578125" style="27"/>
    <col min="13591" max="13591" width="11.42578125" style="27" customWidth="1"/>
    <col min="13592" max="13824" width="11.42578125" style="27"/>
    <col min="13825" max="13828" width="8.42578125" style="27" customWidth="1"/>
    <col min="13829" max="13831" width="9.7109375" style="27" customWidth="1"/>
    <col min="13832" max="13838" width="8.42578125" style="27" customWidth="1"/>
    <col min="13839" max="13846" width="11.42578125" style="27"/>
    <col min="13847" max="13847" width="11.42578125" style="27" customWidth="1"/>
    <col min="13848" max="14080" width="11.42578125" style="27"/>
    <col min="14081" max="14084" width="8.42578125" style="27" customWidth="1"/>
    <col min="14085" max="14087" width="9.7109375" style="27" customWidth="1"/>
    <col min="14088" max="14094" width="8.42578125" style="27" customWidth="1"/>
    <col min="14095" max="14102" width="11.42578125" style="27"/>
    <col min="14103" max="14103" width="11.42578125" style="27" customWidth="1"/>
    <col min="14104" max="14336" width="11.42578125" style="27"/>
    <col min="14337" max="14340" width="8.42578125" style="27" customWidth="1"/>
    <col min="14341" max="14343" width="9.7109375" style="27" customWidth="1"/>
    <col min="14344" max="14350" width="8.42578125" style="27" customWidth="1"/>
    <col min="14351" max="14358" width="11.42578125" style="27"/>
    <col min="14359" max="14359" width="11.42578125" style="27" customWidth="1"/>
    <col min="14360" max="14592" width="11.42578125" style="27"/>
    <col min="14593" max="14596" width="8.42578125" style="27" customWidth="1"/>
    <col min="14597" max="14599" width="9.7109375" style="27" customWidth="1"/>
    <col min="14600" max="14606" width="8.42578125" style="27" customWidth="1"/>
    <col min="14607" max="14614" width="11.42578125" style="27"/>
    <col min="14615" max="14615" width="11.42578125" style="27" customWidth="1"/>
    <col min="14616" max="14848" width="11.42578125" style="27"/>
    <col min="14849" max="14852" width="8.42578125" style="27" customWidth="1"/>
    <col min="14853" max="14855" width="9.7109375" style="27" customWidth="1"/>
    <col min="14856" max="14862" width="8.42578125" style="27" customWidth="1"/>
    <col min="14863" max="14870" width="11.42578125" style="27"/>
    <col min="14871" max="14871" width="11.42578125" style="27" customWidth="1"/>
    <col min="14872" max="15104" width="11.42578125" style="27"/>
    <col min="15105" max="15108" width="8.42578125" style="27" customWidth="1"/>
    <col min="15109" max="15111" width="9.7109375" style="27" customWidth="1"/>
    <col min="15112" max="15118" width="8.42578125" style="27" customWidth="1"/>
    <col min="15119" max="15126" width="11.42578125" style="27"/>
    <col min="15127" max="15127" width="11.42578125" style="27" customWidth="1"/>
    <col min="15128" max="15360" width="11.42578125" style="27"/>
    <col min="15361" max="15364" width="8.42578125" style="27" customWidth="1"/>
    <col min="15365" max="15367" width="9.7109375" style="27" customWidth="1"/>
    <col min="15368" max="15374" width="8.42578125" style="27" customWidth="1"/>
    <col min="15375" max="15382" width="11.42578125" style="27"/>
    <col min="15383" max="15383" width="11.42578125" style="27" customWidth="1"/>
    <col min="15384" max="15616" width="11.42578125" style="27"/>
    <col min="15617" max="15620" width="8.42578125" style="27" customWidth="1"/>
    <col min="15621" max="15623" width="9.7109375" style="27" customWidth="1"/>
    <col min="15624" max="15630" width="8.42578125" style="27" customWidth="1"/>
    <col min="15631" max="15638" width="11.42578125" style="27"/>
    <col min="15639" max="15639" width="11.42578125" style="27" customWidth="1"/>
    <col min="15640" max="15872" width="11.42578125" style="27"/>
    <col min="15873" max="15876" width="8.42578125" style="27" customWidth="1"/>
    <col min="15877" max="15879" width="9.7109375" style="27" customWidth="1"/>
    <col min="15880" max="15886" width="8.42578125" style="27" customWidth="1"/>
    <col min="15887" max="15894" width="11.42578125" style="27"/>
    <col min="15895" max="15895" width="11.42578125" style="27" customWidth="1"/>
    <col min="15896" max="16128" width="11.42578125" style="27"/>
    <col min="16129" max="16132" width="8.42578125" style="27" customWidth="1"/>
    <col min="16133" max="16135" width="9.7109375" style="27" customWidth="1"/>
    <col min="16136" max="16142" width="8.42578125" style="27" customWidth="1"/>
    <col min="16143" max="16150" width="11.42578125" style="27"/>
    <col min="16151" max="16151" width="11.42578125" style="27" customWidth="1"/>
    <col min="16152" max="16384" width="11.42578125" style="27"/>
  </cols>
  <sheetData>
    <row r="1" spans="1:14" ht="13.5" customHeight="1" thickTop="1">
      <c r="A1" s="217"/>
      <c r="B1" s="218"/>
      <c r="C1" s="221" t="str">
        <f>Translation!N4</f>
        <v>STANDARD OPERATION SHEET
 ANALYSIS (SOS-A)</v>
      </c>
      <c r="D1" s="222"/>
      <c r="E1" s="222"/>
      <c r="F1" s="222"/>
      <c r="G1" s="222"/>
      <c r="H1" s="222"/>
      <c r="I1" s="222"/>
      <c r="J1" s="222"/>
      <c r="K1" s="223"/>
      <c r="L1" s="221" t="str">
        <f>Template!A4</f>
        <v>FOR-054-Multi-J</v>
      </c>
      <c r="M1" s="222"/>
      <c r="N1" s="227"/>
    </row>
    <row r="2" spans="1:14" ht="12.75" customHeight="1">
      <c r="A2" s="219"/>
      <c r="B2" s="220"/>
      <c r="C2" s="224"/>
      <c r="D2" s="225"/>
      <c r="E2" s="225"/>
      <c r="F2" s="225"/>
      <c r="G2" s="225"/>
      <c r="H2" s="225"/>
      <c r="I2" s="225"/>
      <c r="J2" s="225"/>
      <c r="K2" s="226"/>
      <c r="L2" s="224"/>
      <c r="M2" s="225"/>
      <c r="N2" s="228"/>
    </row>
    <row r="3" spans="1:14" ht="13.5" thickBot="1">
      <c r="A3" s="219"/>
      <c r="B3" s="220"/>
      <c r="C3" s="224"/>
      <c r="D3" s="225"/>
      <c r="E3" s="225"/>
      <c r="F3" s="225"/>
      <c r="G3" s="225"/>
      <c r="H3" s="225"/>
      <c r="I3" s="225"/>
      <c r="J3" s="225"/>
      <c r="K3" s="226"/>
      <c r="L3" s="224"/>
      <c r="M3" s="225"/>
      <c r="N3" s="228"/>
    </row>
    <row r="4" spans="1:14" ht="15.75" thickBot="1">
      <c r="A4" s="219"/>
      <c r="B4" s="220"/>
      <c r="C4" s="229" t="str">
        <f>Translation!N57</f>
        <v>Historique des révisions</v>
      </c>
      <c r="D4" s="230"/>
      <c r="E4" s="230"/>
      <c r="F4" s="230"/>
      <c r="G4" s="230"/>
      <c r="H4" s="230"/>
      <c r="I4" s="230"/>
      <c r="J4" s="230"/>
      <c r="K4" s="231"/>
      <c r="L4" s="224"/>
      <c r="M4" s="225"/>
      <c r="N4" s="228"/>
    </row>
    <row r="5" spans="1:14" ht="13.5" thickTop="1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30"/>
    </row>
    <row r="6" spans="1:14">
      <c r="A6" s="31"/>
      <c r="N6" s="32"/>
    </row>
    <row r="7" spans="1:14">
      <c r="A7" s="31"/>
      <c r="B7" s="232" t="str">
        <f>Translation!N58</f>
        <v>Date</v>
      </c>
      <c r="C7" s="232"/>
      <c r="D7" s="33" t="str">
        <f>Translation!N59</f>
        <v>Indice</v>
      </c>
      <c r="E7" s="232" t="str">
        <f>Translation!N60</f>
        <v>Pilote de la modification</v>
      </c>
      <c r="F7" s="232"/>
      <c r="G7" s="232"/>
      <c r="H7" s="232" t="str">
        <f>Translation!N61</f>
        <v>Description de la modification</v>
      </c>
      <c r="I7" s="232"/>
      <c r="J7" s="232"/>
      <c r="K7" s="232"/>
      <c r="L7" s="232"/>
      <c r="M7" s="232"/>
      <c r="N7" s="32"/>
    </row>
    <row r="8" spans="1:14">
      <c r="A8" s="31"/>
      <c r="B8" s="233">
        <v>45015</v>
      </c>
      <c r="C8" s="234"/>
      <c r="D8" s="34" t="s">
        <v>32</v>
      </c>
      <c r="E8" s="234" t="s">
        <v>41</v>
      </c>
      <c r="F8" s="234"/>
      <c r="G8" s="234"/>
      <c r="H8" s="235" t="s">
        <v>33</v>
      </c>
      <c r="I8" s="235"/>
      <c r="J8" s="235"/>
      <c r="K8" s="235"/>
      <c r="L8" s="235"/>
      <c r="M8" s="235"/>
      <c r="N8" s="32"/>
    </row>
    <row r="9" spans="1:14" ht="29.25" customHeight="1">
      <c r="A9" s="31"/>
      <c r="B9" s="233">
        <v>45056</v>
      </c>
      <c r="C9" s="234"/>
      <c r="D9" s="34" t="s">
        <v>42</v>
      </c>
      <c r="E9" s="234" t="s">
        <v>41</v>
      </c>
      <c r="F9" s="234"/>
      <c r="G9" s="234"/>
      <c r="H9" s="235" t="s">
        <v>168</v>
      </c>
      <c r="I9" s="235"/>
      <c r="J9" s="235"/>
      <c r="K9" s="235"/>
      <c r="L9" s="235"/>
      <c r="M9" s="235"/>
      <c r="N9" s="32"/>
    </row>
    <row r="10" spans="1:14" ht="16.5" customHeight="1">
      <c r="A10" s="31"/>
      <c r="B10" s="233">
        <v>45299</v>
      </c>
      <c r="C10" s="234"/>
      <c r="D10" s="34" t="s">
        <v>224</v>
      </c>
      <c r="E10" s="234" t="s">
        <v>41</v>
      </c>
      <c r="F10" s="234"/>
      <c r="G10" s="234"/>
      <c r="H10" s="235" t="s">
        <v>225</v>
      </c>
      <c r="I10" s="235"/>
      <c r="J10" s="235"/>
      <c r="K10" s="235"/>
      <c r="L10" s="235"/>
      <c r="M10" s="235"/>
      <c r="N10" s="32"/>
    </row>
    <row r="11" spans="1:14" ht="16.5" customHeight="1">
      <c r="A11" s="31"/>
      <c r="B11" s="233">
        <v>45337</v>
      </c>
      <c r="C11" s="234"/>
      <c r="D11" s="34" t="s">
        <v>226</v>
      </c>
      <c r="E11" s="234" t="s">
        <v>227</v>
      </c>
      <c r="F11" s="234"/>
      <c r="G11" s="234"/>
      <c r="H11" s="235" t="s">
        <v>228</v>
      </c>
      <c r="I11" s="235"/>
      <c r="J11" s="235"/>
      <c r="K11" s="235"/>
      <c r="L11" s="235"/>
      <c r="M11" s="235"/>
      <c r="N11" s="32"/>
    </row>
    <row r="12" spans="1:14" ht="16.5" customHeight="1">
      <c r="A12" s="31"/>
      <c r="B12" s="236">
        <v>45447</v>
      </c>
      <c r="C12" s="237"/>
      <c r="D12" s="34" t="s">
        <v>233</v>
      </c>
      <c r="E12" s="234" t="s">
        <v>227</v>
      </c>
      <c r="F12" s="234"/>
      <c r="G12" s="234"/>
      <c r="H12" s="238" t="s">
        <v>234</v>
      </c>
      <c r="I12" s="239"/>
      <c r="J12" s="239"/>
      <c r="K12" s="239"/>
      <c r="L12" s="239"/>
      <c r="M12" s="240"/>
      <c r="N12" s="32"/>
    </row>
    <row r="13" spans="1:14" ht="16.5" customHeight="1">
      <c r="A13" s="31"/>
      <c r="B13" s="233">
        <v>45467</v>
      </c>
      <c r="C13" s="234"/>
      <c r="D13" s="34" t="s">
        <v>286</v>
      </c>
      <c r="E13" s="234" t="s">
        <v>287</v>
      </c>
      <c r="F13" s="234"/>
      <c r="G13" s="234"/>
      <c r="H13" s="235" t="s">
        <v>288</v>
      </c>
      <c r="I13" s="235"/>
      <c r="J13" s="235"/>
      <c r="K13" s="235"/>
      <c r="L13" s="235"/>
      <c r="M13" s="235"/>
      <c r="N13" s="32"/>
    </row>
    <row r="14" spans="1:14" ht="16.5" customHeight="1">
      <c r="A14" s="31"/>
      <c r="B14" s="233">
        <v>45474</v>
      </c>
      <c r="C14" s="234"/>
      <c r="D14" s="34" t="s">
        <v>289</v>
      </c>
      <c r="E14" s="234" t="s">
        <v>227</v>
      </c>
      <c r="F14" s="234"/>
      <c r="G14" s="234"/>
      <c r="H14" s="235" t="s">
        <v>290</v>
      </c>
      <c r="I14" s="235"/>
      <c r="J14" s="235"/>
      <c r="K14" s="235"/>
      <c r="L14" s="235"/>
      <c r="M14" s="235"/>
      <c r="N14" s="32"/>
    </row>
    <row r="15" spans="1:14" ht="16.5" customHeight="1">
      <c r="A15" s="31"/>
      <c r="B15" s="233" t="s">
        <v>295</v>
      </c>
      <c r="C15" s="234"/>
      <c r="D15" s="34" t="s">
        <v>294</v>
      </c>
      <c r="E15" s="234" t="s">
        <v>287</v>
      </c>
      <c r="F15" s="234"/>
      <c r="G15" s="234"/>
      <c r="H15" s="235" t="s">
        <v>296</v>
      </c>
      <c r="I15" s="235"/>
      <c r="J15" s="235"/>
      <c r="K15" s="235"/>
      <c r="L15" s="235"/>
      <c r="M15" s="235"/>
      <c r="N15" s="32"/>
    </row>
    <row r="16" spans="1:14" ht="16.5" customHeight="1">
      <c r="A16" s="31"/>
      <c r="B16" s="233">
        <v>45555</v>
      </c>
      <c r="C16" s="234"/>
      <c r="D16" s="34" t="s">
        <v>355</v>
      </c>
      <c r="E16" s="234" t="s">
        <v>353</v>
      </c>
      <c r="F16" s="234"/>
      <c r="G16" s="234"/>
      <c r="H16" s="235" t="s">
        <v>354</v>
      </c>
      <c r="I16" s="235"/>
      <c r="J16" s="235"/>
      <c r="K16" s="235"/>
      <c r="L16" s="235"/>
      <c r="M16" s="235"/>
      <c r="N16" s="32"/>
    </row>
    <row r="17" spans="1:14" ht="16.5" customHeight="1">
      <c r="A17" s="31"/>
      <c r="B17" s="233">
        <v>45755</v>
      </c>
      <c r="C17" s="234"/>
      <c r="D17" s="34" t="s">
        <v>406</v>
      </c>
      <c r="E17" s="234" t="s">
        <v>407</v>
      </c>
      <c r="F17" s="234"/>
      <c r="G17" s="234"/>
      <c r="H17" s="235" t="s">
        <v>408</v>
      </c>
      <c r="I17" s="235"/>
      <c r="J17" s="235"/>
      <c r="K17" s="235"/>
      <c r="L17" s="235"/>
      <c r="M17" s="235"/>
      <c r="N17" s="32"/>
    </row>
    <row r="18" spans="1:14" ht="16.5" customHeight="1">
      <c r="A18" s="31"/>
      <c r="B18" s="233"/>
      <c r="C18" s="234"/>
      <c r="D18" s="34"/>
      <c r="E18" s="234"/>
      <c r="F18" s="234"/>
      <c r="G18" s="234"/>
      <c r="H18" s="235"/>
      <c r="I18" s="235"/>
      <c r="J18" s="235"/>
      <c r="K18" s="235"/>
      <c r="L18" s="235"/>
      <c r="M18" s="235"/>
      <c r="N18" s="32"/>
    </row>
    <row r="19" spans="1:14" ht="16.5" customHeight="1">
      <c r="A19" s="31"/>
      <c r="B19" s="233"/>
      <c r="C19" s="234"/>
      <c r="D19" s="34"/>
      <c r="E19" s="234"/>
      <c r="F19" s="234"/>
      <c r="G19" s="234"/>
      <c r="H19" s="235"/>
      <c r="I19" s="235"/>
      <c r="J19" s="235"/>
      <c r="K19" s="235"/>
      <c r="L19" s="235"/>
      <c r="M19" s="235"/>
      <c r="N19" s="32"/>
    </row>
    <row r="20" spans="1:14" ht="16.5" customHeight="1">
      <c r="A20" s="31"/>
      <c r="B20" s="233"/>
      <c r="C20" s="234"/>
      <c r="D20" s="34"/>
      <c r="E20" s="234"/>
      <c r="F20" s="234"/>
      <c r="G20" s="234"/>
      <c r="H20" s="235"/>
      <c r="I20" s="235"/>
      <c r="J20" s="235"/>
      <c r="K20" s="235"/>
      <c r="L20" s="235"/>
      <c r="M20" s="235"/>
      <c r="N20" s="32"/>
    </row>
    <row r="21" spans="1:14" ht="16.5" customHeight="1">
      <c r="A21" s="31"/>
      <c r="B21" s="234"/>
      <c r="C21" s="234"/>
      <c r="D21" s="34"/>
      <c r="E21" s="234"/>
      <c r="F21" s="234"/>
      <c r="G21" s="234"/>
      <c r="H21" s="234"/>
      <c r="I21" s="234"/>
      <c r="J21" s="234"/>
      <c r="K21" s="234"/>
      <c r="L21" s="234"/>
      <c r="M21" s="234"/>
      <c r="N21" s="32"/>
    </row>
    <row r="22" spans="1:14" ht="16.5" customHeight="1">
      <c r="A22" s="31"/>
      <c r="B22" s="234"/>
      <c r="C22" s="234"/>
      <c r="D22" s="34"/>
      <c r="E22" s="234"/>
      <c r="F22" s="234"/>
      <c r="G22" s="234"/>
      <c r="H22" s="234"/>
      <c r="I22" s="234"/>
      <c r="J22" s="234"/>
      <c r="K22" s="234"/>
      <c r="L22" s="234"/>
      <c r="M22" s="234"/>
      <c r="N22" s="32"/>
    </row>
    <row r="23" spans="1:14" ht="16.5" customHeight="1">
      <c r="A23" s="31"/>
      <c r="B23" s="234"/>
      <c r="C23" s="234"/>
      <c r="D23" s="34"/>
      <c r="E23" s="234"/>
      <c r="F23" s="234"/>
      <c r="G23" s="234"/>
      <c r="H23" s="234"/>
      <c r="I23" s="234"/>
      <c r="J23" s="234"/>
      <c r="K23" s="234"/>
      <c r="L23" s="234"/>
      <c r="M23" s="234"/>
      <c r="N23" s="32"/>
    </row>
    <row r="24" spans="1:14" ht="16.5" customHeight="1">
      <c r="A24" s="31"/>
      <c r="B24" s="234"/>
      <c r="C24" s="234"/>
      <c r="D24" s="34"/>
      <c r="E24" s="234"/>
      <c r="F24" s="234"/>
      <c r="G24" s="234"/>
      <c r="H24" s="234"/>
      <c r="I24" s="234"/>
      <c r="J24" s="234"/>
      <c r="K24" s="234"/>
      <c r="L24" s="234"/>
      <c r="M24" s="234"/>
      <c r="N24" s="32"/>
    </row>
    <row r="25" spans="1:14" ht="16.5" customHeight="1">
      <c r="A25" s="31"/>
      <c r="B25" s="234"/>
      <c r="C25" s="234"/>
      <c r="D25" s="34"/>
      <c r="E25" s="234"/>
      <c r="F25" s="234"/>
      <c r="G25" s="234"/>
      <c r="H25" s="234"/>
      <c r="I25" s="234"/>
      <c r="J25" s="234"/>
      <c r="K25" s="234"/>
      <c r="L25" s="234"/>
      <c r="M25" s="234"/>
      <c r="N25" s="32"/>
    </row>
    <row r="26" spans="1:14" ht="16.5" customHeight="1">
      <c r="A26" s="31"/>
      <c r="B26" s="234"/>
      <c r="C26" s="234"/>
      <c r="D26" s="34"/>
      <c r="E26" s="234"/>
      <c r="F26" s="234"/>
      <c r="G26" s="234"/>
      <c r="H26" s="234"/>
      <c r="I26" s="234"/>
      <c r="J26" s="234"/>
      <c r="K26" s="234"/>
      <c r="L26" s="234"/>
      <c r="M26" s="234"/>
      <c r="N26" s="32"/>
    </row>
    <row r="27" spans="1:14" ht="16.5" customHeight="1">
      <c r="A27" s="31"/>
      <c r="B27" s="234"/>
      <c r="C27" s="234"/>
      <c r="D27" s="34"/>
      <c r="E27" s="234"/>
      <c r="F27" s="234"/>
      <c r="G27" s="234"/>
      <c r="H27" s="234"/>
      <c r="I27" s="234"/>
      <c r="J27" s="234"/>
      <c r="K27" s="234"/>
      <c r="L27" s="234"/>
      <c r="M27" s="234"/>
      <c r="N27" s="32"/>
    </row>
    <row r="28" spans="1:14" ht="16.5" customHeight="1">
      <c r="A28" s="31"/>
      <c r="B28" s="234"/>
      <c r="C28" s="234"/>
      <c r="D28" s="34"/>
      <c r="E28" s="234"/>
      <c r="F28" s="234"/>
      <c r="G28" s="234"/>
      <c r="H28" s="234"/>
      <c r="I28" s="234"/>
      <c r="J28" s="234"/>
      <c r="K28" s="234"/>
      <c r="L28" s="234"/>
      <c r="M28" s="234"/>
      <c r="N28" s="32"/>
    </row>
    <row r="29" spans="1:14" ht="16.5" customHeight="1">
      <c r="A29" s="31"/>
      <c r="B29" s="234"/>
      <c r="C29" s="234"/>
      <c r="D29" s="34"/>
      <c r="E29" s="234"/>
      <c r="F29" s="234"/>
      <c r="G29" s="234"/>
      <c r="H29" s="234"/>
      <c r="I29" s="234"/>
      <c r="J29" s="234"/>
      <c r="K29" s="234"/>
      <c r="L29" s="234"/>
      <c r="M29" s="234"/>
      <c r="N29" s="32"/>
    </row>
    <row r="30" spans="1:14" ht="16.5" customHeight="1">
      <c r="A30" s="31"/>
      <c r="B30" s="234"/>
      <c r="C30" s="234"/>
      <c r="D30" s="34"/>
      <c r="E30" s="234"/>
      <c r="F30" s="234"/>
      <c r="G30" s="234"/>
      <c r="H30" s="234"/>
      <c r="I30" s="234"/>
      <c r="J30" s="234"/>
      <c r="K30" s="234"/>
      <c r="L30" s="234"/>
      <c r="M30" s="234"/>
      <c r="N30" s="32"/>
    </row>
    <row r="31" spans="1:14">
      <c r="A31" s="31"/>
      <c r="B31" s="234"/>
      <c r="C31" s="234"/>
      <c r="D31" s="34"/>
      <c r="E31" s="234"/>
      <c r="F31" s="234"/>
      <c r="G31" s="234"/>
      <c r="H31" s="234"/>
      <c r="I31" s="234"/>
      <c r="J31" s="234"/>
      <c r="K31" s="234"/>
      <c r="L31" s="234"/>
      <c r="M31" s="234"/>
      <c r="N31" s="32"/>
    </row>
    <row r="32" spans="1:14">
      <c r="A32" s="31"/>
      <c r="B32" s="234"/>
      <c r="C32" s="234"/>
      <c r="D32" s="34"/>
      <c r="E32" s="234"/>
      <c r="F32" s="234"/>
      <c r="G32" s="234"/>
      <c r="H32" s="234"/>
      <c r="I32" s="234"/>
      <c r="J32" s="234"/>
      <c r="K32" s="234"/>
      <c r="L32" s="234"/>
      <c r="M32" s="234"/>
      <c r="N32" s="32"/>
    </row>
    <row r="33" spans="1:14">
      <c r="A33" s="31"/>
      <c r="N33" s="32"/>
    </row>
    <row r="34" spans="1:14" ht="13.5" thickBot="1">
      <c r="A34" s="3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7"/>
    </row>
    <row r="35" spans="1:14" ht="13.5" thickTop="1"/>
  </sheetData>
  <mergeCells count="82">
    <mergeCell ref="B32:C32"/>
    <mergeCell ref="E32:G32"/>
    <mergeCell ref="H32:M32"/>
    <mergeCell ref="B30:C30"/>
    <mergeCell ref="E30:G30"/>
    <mergeCell ref="H30:M30"/>
    <mergeCell ref="B31:C31"/>
    <mergeCell ref="E31:G31"/>
    <mergeCell ref="H31:M31"/>
    <mergeCell ref="B28:C28"/>
    <mergeCell ref="E28:G28"/>
    <mergeCell ref="H28:M28"/>
    <mergeCell ref="B29:C29"/>
    <mergeCell ref="E29:G29"/>
    <mergeCell ref="H29:M29"/>
    <mergeCell ref="B26:C26"/>
    <mergeCell ref="E26:G26"/>
    <mergeCell ref="H26:M26"/>
    <mergeCell ref="B27:C27"/>
    <mergeCell ref="E27:G27"/>
    <mergeCell ref="H27:M27"/>
    <mergeCell ref="B24:C24"/>
    <mergeCell ref="E24:G24"/>
    <mergeCell ref="H24:M24"/>
    <mergeCell ref="B25:C25"/>
    <mergeCell ref="E25:G25"/>
    <mergeCell ref="H25:M25"/>
    <mergeCell ref="B22:C22"/>
    <mergeCell ref="E22:G22"/>
    <mergeCell ref="H22:M22"/>
    <mergeCell ref="B23:C23"/>
    <mergeCell ref="E23:G23"/>
    <mergeCell ref="H23:M23"/>
    <mergeCell ref="B20:C20"/>
    <mergeCell ref="E20:G20"/>
    <mergeCell ref="H20:M20"/>
    <mergeCell ref="B21:C21"/>
    <mergeCell ref="E21:G21"/>
    <mergeCell ref="H21:M21"/>
    <mergeCell ref="B18:C18"/>
    <mergeCell ref="E18:G18"/>
    <mergeCell ref="H18:M18"/>
    <mergeCell ref="B19:C19"/>
    <mergeCell ref="E19:G19"/>
    <mergeCell ref="H19:M19"/>
    <mergeCell ref="B16:C16"/>
    <mergeCell ref="E16:G16"/>
    <mergeCell ref="H16:M16"/>
    <mergeCell ref="B17:C17"/>
    <mergeCell ref="E17:G17"/>
    <mergeCell ref="H17:M17"/>
    <mergeCell ref="B14:C14"/>
    <mergeCell ref="E14:G14"/>
    <mergeCell ref="H14:M14"/>
    <mergeCell ref="B15:C15"/>
    <mergeCell ref="E15:G15"/>
    <mergeCell ref="H15:M15"/>
    <mergeCell ref="B12:C12"/>
    <mergeCell ref="E12:G12"/>
    <mergeCell ref="H12:M12"/>
    <mergeCell ref="B13:C13"/>
    <mergeCell ref="E13:G13"/>
    <mergeCell ref="H13:M13"/>
    <mergeCell ref="B10:C10"/>
    <mergeCell ref="E10:G10"/>
    <mergeCell ref="H10:M10"/>
    <mergeCell ref="B11:C11"/>
    <mergeCell ref="E11:G11"/>
    <mergeCell ref="H11:M11"/>
    <mergeCell ref="B8:C8"/>
    <mergeCell ref="E8:G8"/>
    <mergeCell ref="H8:M8"/>
    <mergeCell ref="B9:C9"/>
    <mergeCell ref="E9:G9"/>
    <mergeCell ref="H9:M9"/>
    <mergeCell ref="A1:B4"/>
    <mergeCell ref="C1:K3"/>
    <mergeCell ref="L1:N4"/>
    <mergeCell ref="C4:K4"/>
    <mergeCell ref="B7:C7"/>
    <mergeCell ref="E7:G7"/>
    <mergeCell ref="H7:M7"/>
  </mergeCells>
  <conditionalFormatting sqref="A1">
    <cfRule type="cellIs" dxfId="0" priority="1" stopIfTrue="1" operator="equal">
      <formula>"."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O210"/>
  <sheetViews>
    <sheetView workbookViewId="0">
      <pane ySplit="2" topLeftCell="A24" activePane="bottomLeft" state="frozen"/>
      <selection pane="bottomLeft" activeCell="M36" sqref="M36"/>
    </sheetView>
  </sheetViews>
  <sheetFormatPr baseColWidth="10" defaultColWidth="11.5703125" defaultRowHeight="12.75"/>
  <cols>
    <col min="1" max="1" width="43.7109375" style="6" hidden="1" customWidth="1"/>
    <col min="2" max="2" width="3.7109375" style="6" customWidth="1"/>
    <col min="3" max="3" width="42.140625" style="6" customWidth="1"/>
    <col min="4" max="4" width="3.7109375" style="6" customWidth="1"/>
    <col min="5" max="5" width="32.85546875" style="6" customWidth="1"/>
    <col min="6" max="6" width="3.7109375" style="6" customWidth="1"/>
    <col min="7" max="7" width="35.85546875" style="6" customWidth="1"/>
    <col min="8" max="8" width="3.7109375" style="6" customWidth="1"/>
    <col min="9" max="9" width="35.85546875" style="6" customWidth="1"/>
    <col min="10" max="10" width="3.7109375" style="6" customWidth="1"/>
    <col min="11" max="11" width="35.85546875" style="6" customWidth="1"/>
    <col min="12" max="12" width="3.7109375" style="6" customWidth="1"/>
    <col min="13" max="13" width="35.85546875" style="6" customWidth="1"/>
    <col min="14" max="14" width="43.42578125" style="6" customWidth="1"/>
    <col min="15" max="15" width="24.5703125" style="6" customWidth="1"/>
    <col min="16" max="264" width="11.42578125" style="6"/>
    <col min="265" max="265" width="43.7109375" style="6" customWidth="1"/>
    <col min="266" max="266" width="3.7109375" style="6" customWidth="1"/>
    <col min="267" max="267" width="42.140625" style="6" customWidth="1"/>
    <col min="268" max="268" width="3.7109375" style="6" customWidth="1"/>
    <col min="269" max="269" width="31.42578125" style="6" customWidth="1"/>
    <col min="270" max="270" width="46.42578125" style="6" customWidth="1"/>
    <col min="271" max="271" width="24.5703125" style="6" customWidth="1"/>
    <col min="272" max="520" width="11.42578125" style="6"/>
    <col min="521" max="521" width="43.7109375" style="6" customWidth="1"/>
    <col min="522" max="522" width="3.7109375" style="6" customWidth="1"/>
    <col min="523" max="523" width="42.140625" style="6" customWidth="1"/>
    <col min="524" max="524" width="3.7109375" style="6" customWidth="1"/>
    <col min="525" max="525" width="31.42578125" style="6" customWidth="1"/>
    <col min="526" max="526" width="46.42578125" style="6" customWidth="1"/>
    <col min="527" max="527" width="24.5703125" style="6" customWidth="1"/>
    <col min="528" max="776" width="11.42578125" style="6"/>
    <col min="777" max="777" width="43.7109375" style="6" customWidth="1"/>
    <col min="778" max="778" width="3.7109375" style="6" customWidth="1"/>
    <col min="779" max="779" width="42.140625" style="6" customWidth="1"/>
    <col min="780" max="780" width="3.7109375" style="6" customWidth="1"/>
    <col min="781" max="781" width="31.42578125" style="6" customWidth="1"/>
    <col min="782" max="782" width="46.42578125" style="6" customWidth="1"/>
    <col min="783" max="783" width="24.5703125" style="6" customWidth="1"/>
    <col min="784" max="1032" width="11.42578125" style="6"/>
    <col min="1033" max="1033" width="43.7109375" style="6" customWidth="1"/>
    <col min="1034" max="1034" width="3.7109375" style="6" customWidth="1"/>
    <col min="1035" max="1035" width="42.140625" style="6" customWidth="1"/>
    <col min="1036" max="1036" width="3.7109375" style="6" customWidth="1"/>
    <col min="1037" max="1037" width="31.42578125" style="6" customWidth="1"/>
    <col min="1038" max="1038" width="46.42578125" style="6" customWidth="1"/>
    <col min="1039" max="1039" width="24.5703125" style="6" customWidth="1"/>
    <col min="1040" max="1288" width="11.42578125" style="6"/>
    <col min="1289" max="1289" width="43.7109375" style="6" customWidth="1"/>
    <col min="1290" max="1290" width="3.7109375" style="6" customWidth="1"/>
    <col min="1291" max="1291" width="42.140625" style="6" customWidth="1"/>
    <col min="1292" max="1292" width="3.7109375" style="6" customWidth="1"/>
    <col min="1293" max="1293" width="31.42578125" style="6" customWidth="1"/>
    <col min="1294" max="1294" width="46.42578125" style="6" customWidth="1"/>
    <col min="1295" max="1295" width="24.5703125" style="6" customWidth="1"/>
    <col min="1296" max="1544" width="11.42578125" style="6"/>
    <col min="1545" max="1545" width="43.7109375" style="6" customWidth="1"/>
    <col min="1546" max="1546" width="3.7109375" style="6" customWidth="1"/>
    <col min="1547" max="1547" width="42.140625" style="6" customWidth="1"/>
    <col min="1548" max="1548" width="3.7109375" style="6" customWidth="1"/>
    <col min="1549" max="1549" width="31.42578125" style="6" customWidth="1"/>
    <col min="1550" max="1550" width="46.42578125" style="6" customWidth="1"/>
    <col min="1551" max="1551" width="24.5703125" style="6" customWidth="1"/>
    <col min="1552" max="1800" width="11.42578125" style="6"/>
    <col min="1801" max="1801" width="43.7109375" style="6" customWidth="1"/>
    <col min="1802" max="1802" width="3.7109375" style="6" customWidth="1"/>
    <col min="1803" max="1803" width="42.140625" style="6" customWidth="1"/>
    <col min="1804" max="1804" width="3.7109375" style="6" customWidth="1"/>
    <col min="1805" max="1805" width="31.42578125" style="6" customWidth="1"/>
    <col min="1806" max="1806" width="46.42578125" style="6" customWidth="1"/>
    <col min="1807" max="1807" width="24.5703125" style="6" customWidth="1"/>
    <col min="1808" max="2056" width="11.42578125" style="6"/>
    <col min="2057" max="2057" width="43.7109375" style="6" customWidth="1"/>
    <col min="2058" max="2058" width="3.7109375" style="6" customWidth="1"/>
    <col min="2059" max="2059" width="42.140625" style="6" customWidth="1"/>
    <col min="2060" max="2060" width="3.7109375" style="6" customWidth="1"/>
    <col min="2061" max="2061" width="31.42578125" style="6" customWidth="1"/>
    <col min="2062" max="2062" width="46.42578125" style="6" customWidth="1"/>
    <col min="2063" max="2063" width="24.5703125" style="6" customWidth="1"/>
    <col min="2064" max="2312" width="11.42578125" style="6"/>
    <col min="2313" max="2313" width="43.7109375" style="6" customWidth="1"/>
    <col min="2314" max="2314" width="3.7109375" style="6" customWidth="1"/>
    <col min="2315" max="2315" width="42.140625" style="6" customWidth="1"/>
    <col min="2316" max="2316" width="3.7109375" style="6" customWidth="1"/>
    <col min="2317" max="2317" width="31.42578125" style="6" customWidth="1"/>
    <col min="2318" max="2318" width="46.42578125" style="6" customWidth="1"/>
    <col min="2319" max="2319" width="24.5703125" style="6" customWidth="1"/>
    <col min="2320" max="2568" width="11.42578125" style="6"/>
    <col min="2569" max="2569" width="43.7109375" style="6" customWidth="1"/>
    <col min="2570" max="2570" width="3.7109375" style="6" customWidth="1"/>
    <col min="2571" max="2571" width="42.140625" style="6" customWidth="1"/>
    <col min="2572" max="2572" width="3.7109375" style="6" customWidth="1"/>
    <col min="2573" max="2573" width="31.42578125" style="6" customWidth="1"/>
    <col min="2574" max="2574" width="46.42578125" style="6" customWidth="1"/>
    <col min="2575" max="2575" width="24.5703125" style="6" customWidth="1"/>
    <col min="2576" max="2824" width="11.42578125" style="6"/>
    <col min="2825" max="2825" width="43.7109375" style="6" customWidth="1"/>
    <col min="2826" max="2826" width="3.7109375" style="6" customWidth="1"/>
    <col min="2827" max="2827" width="42.140625" style="6" customWidth="1"/>
    <col min="2828" max="2828" width="3.7109375" style="6" customWidth="1"/>
    <col min="2829" max="2829" width="31.42578125" style="6" customWidth="1"/>
    <col min="2830" max="2830" width="46.42578125" style="6" customWidth="1"/>
    <col min="2831" max="2831" width="24.5703125" style="6" customWidth="1"/>
    <col min="2832" max="3080" width="11.42578125" style="6"/>
    <col min="3081" max="3081" width="43.7109375" style="6" customWidth="1"/>
    <col min="3082" max="3082" width="3.7109375" style="6" customWidth="1"/>
    <col min="3083" max="3083" width="42.140625" style="6" customWidth="1"/>
    <col min="3084" max="3084" width="3.7109375" style="6" customWidth="1"/>
    <col min="3085" max="3085" width="31.42578125" style="6" customWidth="1"/>
    <col min="3086" max="3086" width="46.42578125" style="6" customWidth="1"/>
    <col min="3087" max="3087" width="24.5703125" style="6" customWidth="1"/>
    <col min="3088" max="3336" width="11.42578125" style="6"/>
    <col min="3337" max="3337" width="43.7109375" style="6" customWidth="1"/>
    <col min="3338" max="3338" width="3.7109375" style="6" customWidth="1"/>
    <col min="3339" max="3339" width="42.140625" style="6" customWidth="1"/>
    <col min="3340" max="3340" width="3.7109375" style="6" customWidth="1"/>
    <col min="3341" max="3341" width="31.42578125" style="6" customWidth="1"/>
    <col min="3342" max="3342" width="46.42578125" style="6" customWidth="1"/>
    <col min="3343" max="3343" width="24.5703125" style="6" customWidth="1"/>
    <col min="3344" max="3592" width="11.42578125" style="6"/>
    <col min="3593" max="3593" width="43.7109375" style="6" customWidth="1"/>
    <col min="3594" max="3594" width="3.7109375" style="6" customWidth="1"/>
    <col min="3595" max="3595" width="42.140625" style="6" customWidth="1"/>
    <col min="3596" max="3596" width="3.7109375" style="6" customWidth="1"/>
    <col min="3597" max="3597" width="31.42578125" style="6" customWidth="1"/>
    <col min="3598" max="3598" width="46.42578125" style="6" customWidth="1"/>
    <col min="3599" max="3599" width="24.5703125" style="6" customWidth="1"/>
    <col min="3600" max="3848" width="11.42578125" style="6"/>
    <col min="3849" max="3849" width="43.7109375" style="6" customWidth="1"/>
    <col min="3850" max="3850" width="3.7109375" style="6" customWidth="1"/>
    <col min="3851" max="3851" width="42.140625" style="6" customWidth="1"/>
    <col min="3852" max="3852" width="3.7109375" style="6" customWidth="1"/>
    <col min="3853" max="3853" width="31.42578125" style="6" customWidth="1"/>
    <col min="3854" max="3854" width="46.42578125" style="6" customWidth="1"/>
    <col min="3855" max="3855" width="24.5703125" style="6" customWidth="1"/>
    <col min="3856" max="4104" width="11.42578125" style="6"/>
    <col min="4105" max="4105" width="43.7109375" style="6" customWidth="1"/>
    <col min="4106" max="4106" width="3.7109375" style="6" customWidth="1"/>
    <col min="4107" max="4107" width="42.140625" style="6" customWidth="1"/>
    <col min="4108" max="4108" width="3.7109375" style="6" customWidth="1"/>
    <col min="4109" max="4109" width="31.42578125" style="6" customWidth="1"/>
    <col min="4110" max="4110" width="46.42578125" style="6" customWidth="1"/>
    <col min="4111" max="4111" width="24.5703125" style="6" customWidth="1"/>
    <col min="4112" max="4360" width="11.42578125" style="6"/>
    <col min="4361" max="4361" width="43.7109375" style="6" customWidth="1"/>
    <col min="4362" max="4362" width="3.7109375" style="6" customWidth="1"/>
    <col min="4363" max="4363" width="42.140625" style="6" customWidth="1"/>
    <col min="4364" max="4364" width="3.7109375" style="6" customWidth="1"/>
    <col min="4365" max="4365" width="31.42578125" style="6" customWidth="1"/>
    <col min="4366" max="4366" width="46.42578125" style="6" customWidth="1"/>
    <col min="4367" max="4367" width="24.5703125" style="6" customWidth="1"/>
    <col min="4368" max="4616" width="11.42578125" style="6"/>
    <col min="4617" max="4617" width="43.7109375" style="6" customWidth="1"/>
    <col min="4618" max="4618" width="3.7109375" style="6" customWidth="1"/>
    <col min="4619" max="4619" width="42.140625" style="6" customWidth="1"/>
    <col min="4620" max="4620" width="3.7109375" style="6" customWidth="1"/>
    <col min="4621" max="4621" width="31.42578125" style="6" customWidth="1"/>
    <col min="4622" max="4622" width="46.42578125" style="6" customWidth="1"/>
    <col min="4623" max="4623" width="24.5703125" style="6" customWidth="1"/>
    <col min="4624" max="4872" width="11.42578125" style="6"/>
    <col min="4873" max="4873" width="43.7109375" style="6" customWidth="1"/>
    <col min="4874" max="4874" width="3.7109375" style="6" customWidth="1"/>
    <col min="4875" max="4875" width="42.140625" style="6" customWidth="1"/>
    <col min="4876" max="4876" width="3.7109375" style="6" customWidth="1"/>
    <col min="4877" max="4877" width="31.42578125" style="6" customWidth="1"/>
    <col min="4878" max="4878" width="46.42578125" style="6" customWidth="1"/>
    <col min="4879" max="4879" width="24.5703125" style="6" customWidth="1"/>
    <col min="4880" max="5128" width="11.42578125" style="6"/>
    <col min="5129" max="5129" width="43.7109375" style="6" customWidth="1"/>
    <col min="5130" max="5130" width="3.7109375" style="6" customWidth="1"/>
    <col min="5131" max="5131" width="42.140625" style="6" customWidth="1"/>
    <col min="5132" max="5132" width="3.7109375" style="6" customWidth="1"/>
    <col min="5133" max="5133" width="31.42578125" style="6" customWidth="1"/>
    <col min="5134" max="5134" width="46.42578125" style="6" customWidth="1"/>
    <col min="5135" max="5135" width="24.5703125" style="6" customWidth="1"/>
    <col min="5136" max="5384" width="11.42578125" style="6"/>
    <col min="5385" max="5385" width="43.7109375" style="6" customWidth="1"/>
    <col min="5386" max="5386" width="3.7109375" style="6" customWidth="1"/>
    <col min="5387" max="5387" width="42.140625" style="6" customWidth="1"/>
    <col min="5388" max="5388" width="3.7109375" style="6" customWidth="1"/>
    <col min="5389" max="5389" width="31.42578125" style="6" customWidth="1"/>
    <col min="5390" max="5390" width="46.42578125" style="6" customWidth="1"/>
    <col min="5391" max="5391" width="24.5703125" style="6" customWidth="1"/>
    <col min="5392" max="5640" width="11.42578125" style="6"/>
    <col min="5641" max="5641" width="43.7109375" style="6" customWidth="1"/>
    <col min="5642" max="5642" width="3.7109375" style="6" customWidth="1"/>
    <col min="5643" max="5643" width="42.140625" style="6" customWidth="1"/>
    <col min="5644" max="5644" width="3.7109375" style="6" customWidth="1"/>
    <col min="5645" max="5645" width="31.42578125" style="6" customWidth="1"/>
    <col min="5646" max="5646" width="46.42578125" style="6" customWidth="1"/>
    <col min="5647" max="5647" width="24.5703125" style="6" customWidth="1"/>
    <col min="5648" max="5896" width="11.42578125" style="6"/>
    <col min="5897" max="5897" width="43.7109375" style="6" customWidth="1"/>
    <col min="5898" max="5898" width="3.7109375" style="6" customWidth="1"/>
    <col min="5899" max="5899" width="42.140625" style="6" customWidth="1"/>
    <col min="5900" max="5900" width="3.7109375" style="6" customWidth="1"/>
    <col min="5901" max="5901" width="31.42578125" style="6" customWidth="1"/>
    <col min="5902" max="5902" width="46.42578125" style="6" customWidth="1"/>
    <col min="5903" max="5903" width="24.5703125" style="6" customWidth="1"/>
    <col min="5904" max="6152" width="11.42578125" style="6"/>
    <col min="6153" max="6153" width="43.7109375" style="6" customWidth="1"/>
    <col min="6154" max="6154" width="3.7109375" style="6" customWidth="1"/>
    <col min="6155" max="6155" width="42.140625" style="6" customWidth="1"/>
    <col min="6156" max="6156" width="3.7109375" style="6" customWidth="1"/>
    <col min="6157" max="6157" width="31.42578125" style="6" customWidth="1"/>
    <col min="6158" max="6158" width="46.42578125" style="6" customWidth="1"/>
    <col min="6159" max="6159" width="24.5703125" style="6" customWidth="1"/>
    <col min="6160" max="6408" width="11.42578125" style="6"/>
    <col min="6409" max="6409" width="43.7109375" style="6" customWidth="1"/>
    <col min="6410" max="6410" width="3.7109375" style="6" customWidth="1"/>
    <col min="6411" max="6411" width="42.140625" style="6" customWidth="1"/>
    <col min="6412" max="6412" width="3.7109375" style="6" customWidth="1"/>
    <col min="6413" max="6413" width="31.42578125" style="6" customWidth="1"/>
    <col min="6414" max="6414" width="46.42578125" style="6" customWidth="1"/>
    <col min="6415" max="6415" width="24.5703125" style="6" customWidth="1"/>
    <col min="6416" max="6664" width="11.42578125" style="6"/>
    <col min="6665" max="6665" width="43.7109375" style="6" customWidth="1"/>
    <col min="6666" max="6666" width="3.7109375" style="6" customWidth="1"/>
    <col min="6667" max="6667" width="42.140625" style="6" customWidth="1"/>
    <col min="6668" max="6668" width="3.7109375" style="6" customWidth="1"/>
    <col min="6669" max="6669" width="31.42578125" style="6" customWidth="1"/>
    <col min="6670" max="6670" width="46.42578125" style="6" customWidth="1"/>
    <col min="6671" max="6671" width="24.5703125" style="6" customWidth="1"/>
    <col min="6672" max="6920" width="11.42578125" style="6"/>
    <col min="6921" max="6921" width="43.7109375" style="6" customWidth="1"/>
    <col min="6922" max="6922" width="3.7109375" style="6" customWidth="1"/>
    <col min="6923" max="6923" width="42.140625" style="6" customWidth="1"/>
    <col min="6924" max="6924" width="3.7109375" style="6" customWidth="1"/>
    <col min="6925" max="6925" width="31.42578125" style="6" customWidth="1"/>
    <col min="6926" max="6926" width="46.42578125" style="6" customWidth="1"/>
    <col min="6927" max="6927" width="24.5703125" style="6" customWidth="1"/>
    <col min="6928" max="7176" width="11.42578125" style="6"/>
    <col min="7177" max="7177" width="43.7109375" style="6" customWidth="1"/>
    <col min="7178" max="7178" width="3.7109375" style="6" customWidth="1"/>
    <col min="7179" max="7179" width="42.140625" style="6" customWidth="1"/>
    <col min="7180" max="7180" width="3.7109375" style="6" customWidth="1"/>
    <col min="7181" max="7181" width="31.42578125" style="6" customWidth="1"/>
    <col min="7182" max="7182" width="46.42578125" style="6" customWidth="1"/>
    <col min="7183" max="7183" width="24.5703125" style="6" customWidth="1"/>
    <col min="7184" max="7432" width="11.42578125" style="6"/>
    <col min="7433" max="7433" width="43.7109375" style="6" customWidth="1"/>
    <col min="7434" max="7434" width="3.7109375" style="6" customWidth="1"/>
    <col min="7435" max="7435" width="42.140625" style="6" customWidth="1"/>
    <col min="7436" max="7436" width="3.7109375" style="6" customWidth="1"/>
    <col min="7437" max="7437" width="31.42578125" style="6" customWidth="1"/>
    <col min="7438" max="7438" width="46.42578125" style="6" customWidth="1"/>
    <col min="7439" max="7439" width="24.5703125" style="6" customWidth="1"/>
    <col min="7440" max="7688" width="11.42578125" style="6"/>
    <col min="7689" max="7689" width="43.7109375" style="6" customWidth="1"/>
    <col min="7690" max="7690" width="3.7109375" style="6" customWidth="1"/>
    <col min="7691" max="7691" width="42.140625" style="6" customWidth="1"/>
    <col min="7692" max="7692" width="3.7109375" style="6" customWidth="1"/>
    <col min="7693" max="7693" width="31.42578125" style="6" customWidth="1"/>
    <col min="7694" max="7694" width="46.42578125" style="6" customWidth="1"/>
    <col min="7695" max="7695" width="24.5703125" style="6" customWidth="1"/>
    <col min="7696" max="7944" width="11.42578125" style="6"/>
    <col min="7945" max="7945" width="43.7109375" style="6" customWidth="1"/>
    <col min="7946" max="7946" width="3.7109375" style="6" customWidth="1"/>
    <col min="7947" max="7947" width="42.140625" style="6" customWidth="1"/>
    <col min="7948" max="7948" width="3.7109375" style="6" customWidth="1"/>
    <col min="7949" max="7949" width="31.42578125" style="6" customWidth="1"/>
    <col min="7950" max="7950" width="46.42578125" style="6" customWidth="1"/>
    <col min="7951" max="7951" width="24.5703125" style="6" customWidth="1"/>
    <col min="7952" max="8200" width="11.42578125" style="6"/>
    <col min="8201" max="8201" width="43.7109375" style="6" customWidth="1"/>
    <col min="8202" max="8202" width="3.7109375" style="6" customWidth="1"/>
    <col min="8203" max="8203" width="42.140625" style="6" customWidth="1"/>
    <col min="8204" max="8204" width="3.7109375" style="6" customWidth="1"/>
    <col min="8205" max="8205" width="31.42578125" style="6" customWidth="1"/>
    <col min="8206" max="8206" width="46.42578125" style="6" customWidth="1"/>
    <col min="8207" max="8207" width="24.5703125" style="6" customWidth="1"/>
    <col min="8208" max="8456" width="11.42578125" style="6"/>
    <col min="8457" max="8457" width="43.7109375" style="6" customWidth="1"/>
    <col min="8458" max="8458" width="3.7109375" style="6" customWidth="1"/>
    <col min="8459" max="8459" width="42.140625" style="6" customWidth="1"/>
    <col min="8460" max="8460" width="3.7109375" style="6" customWidth="1"/>
    <col min="8461" max="8461" width="31.42578125" style="6" customWidth="1"/>
    <col min="8462" max="8462" width="46.42578125" style="6" customWidth="1"/>
    <col min="8463" max="8463" width="24.5703125" style="6" customWidth="1"/>
    <col min="8464" max="8712" width="11.42578125" style="6"/>
    <col min="8713" max="8713" width="43.7109375" style="6" customWidth="1"/>
    <col min="8714" max="8714" width="3.7109375" style="6" customWidth="1"/>
    <col min="8715" max="8715" width="42.140625" style="6" customWidth="1"/>
    <col min="8716" max="8716" width="3.7109375" style="6" customWidth="1"/>
    <col min="8717" max="8717" width="31.42578125" style="6" customWidth="1"/>
    <col min="8718" max="8718" width="46.42578125" style="6" customWidth="1"/>
    <col min="8719" max="8719" width="24.5703125" style="6" customWidth="1"/>
    <col min="8720" max="8968" width="11.42578125" style="6"/>
    <col min="8969" max="8969" width="43.7109375" style="6" customWidth="1"/>
    <col min="8970" max="8970" width="3.7109375" style="6" customWidth="1"/>
    <col min="8971" max="8971" width="42.140625" style="6" customWidth="1"/>
    <col min="8972" max="8972" width="3.7109375" style="6" customWidth="1"/>
    <col min="8973" max="8973" width="31.42578125" style="6" customWidth="1"/>
    <col min="8974" max="8974" width="46.42578125" style="6" customWidth="1"/>
    <col min="8975" max="8975" width="24.5703125" style="6" customWidth="1"/>
    <col min="8976" max="9224" width="11.42578125" style="6"/>
    <col min="9225" max="9225" width="43.7109375" style="6" customWidth="1"/>
    <col min="9226" max="9226" width="3.7109375" style="6" customWidth="1"/>
    <col min="9227" max="9227" width="42.140625" style="6" customWidth="1"/>
    <col min="9228" max="9228" width="3.7109375" style="6" customWidth="1"/>
    <col min="9229" max="9229" width="31.42578125" style="6" customWidth="1"/>
    <col min="9230" max="9230" width="46.42578125" style="6" customWidth="1"/>
    <col min="9231" max="9231" width="24.5703125" style="6" customWidth="1"/>
    <col min="9232" max="9480" width="11.42578125" style="6"/>
    <col min="9481" max="9481" width="43.7109375" style="6" customWidth="1"/>
    <col min="9482" max="9482" width="3.7109375" style="6" customWidth="1"/>
    <col min="9483" max="9483" width="42.140625" style="6" customWidth="1"/>
    <col min="9484" max="9484" width="3.7109375" style="6" customWidth="1"/>
    <col min="9485" max="9485" width="31.42578125" style="6" customWidth="1"/>
    <col min="9486" max="9486" width="46.42578125" style="6" customWidth="1"/>
    <col min="9487" max="9487" width="24.5703125" style="6" customWidth="1"/>
    <col min="9488" max="9736" width="11.42578125" style="6"/>
    <col min="9737" max="9737" width="43.7109375" style="6" customWidth="1"/>
    <col min="9738" max="9738" width="3.7109375" style="6" customWidth="1"/>
    <col min="9739" max="9739" width="42.140625" style="6" customWidth="1"/>
    <col min="9740" max="9740" width="3.7109375" style="6" customWidth="1"/>
    <col min="9741" max="9741" width="31.42578125" style="6" customWidth="1"/>
    <col min="9742" max="9742" width="46.42578125" style="6" customWidth="1"/>
    <col min="9743" max="9743" width="24.5703125" style="6" customWidth="1"/>
    <col min="9744" max="9992" width="11.42578125" style="6"/>
    <col min="9993" max="9993" width="43.7109375" style="6" customWidth="1"/>
    <col min="9994" max="9994" width="3.7109375" style="6" customWidth="1"/>
    <col min="9995" max="9995" width="42.140625" style="6" customWidth="1"/>
    <col min="9996" max="9996" width="3.7109375" style="6" customWidth="1"/>
    <col min="9997" max="9997" width="31.42578125" style="6" customWidth="1"/>
    <col min="9998" max="9998" width="46.42578125" style="6" customWidth="1"/>
    <col min="9999" max="9999" width="24.5703125" style="6" customWidth="1"/>
    <col min="10000" max="10248" width="11.42578125" style="6"/>
    <col min="10249" max="10249" width="43.7109375" style="6" customWidth="1"/>
    <col min="10250" max="10250" width="3.7109375" style="6" customWidth="1"/>
    <col min="10251" max="10251" width="42.140625" style="6" customWidth="1"/>
    <col min="10252" max="10252" width="3.7109375" style="6" customWidth="1"/>
    <col min="10253" max="10253" width="31.42578125" style="6" customWidth="1"/>
    <col min="10254" max="10254" width="46.42578125" style="6" customWidth="1"/>
    <col min="10255" max="10255" width="24.5703125" style="6" customWidth="1"/>
    <col min="10256" max="10504" width="11.42578125" style="6"/>
    <col min="10505" max="10505" width="43.7109375" style="6" customWidth="1"/>
    <col min="10506" max="10506" width="3.7109375" style="6" customWidth="1"/>
    <col min="10507" max="10507" width="42.140625" style="6" customWidth="1"/>
    <col min="10508" max="10508" width="3.7109375" style="6" customWidth="1"/>
    <col min="10509" max="10509" width="31.42578125" style="6" customWidth="1"/>
    <col min="10510" max="10510" width="46.42578125" style="6" customWidth="1"/>
    <col min="10511" max="10511" width="24.5703125" style="6" customWidth="1"/>
    <col min="10512" max="10760" width="11.42578125" style="6"/>
    <col min="10761" max="10761" width="43.7109375" style="6" customWidth="1"/>
    <col min="10762" max="10762" width="3.7109375" style="6" customWidth="1"/>
    <col min="10763" max="10763" width="42.140625" style="6" customWidth="1"/>
    <col min="10764" max="10764" width="3.7109375" style="6" customWidth="1"/>
    <col min="10765" max="10765" width="31.42578125" style="6" customWidth="1"/>
    <col min="10766" max="10766" width="46.42578125" style="6" customWidth="1"/>
    <col min="10767" max="10767" width="24.5703125" style="6" customWidth="1"/>
    <col min="10768" max="11016" width="11.42578125" style="6"/>
    <col min="11017" max="11017" width="43.7109375" style="6" customWidth="1"/>
    <col min="11018" max="11018" width="3.7109375" style="6" customWidth="1"/>
    <col min="11019" max="11019" width="42.140625" style="6" customWidth="1"/>
    <col min="11020" max="11020" width="3.7109375" style="6" customWidth="1"/>
    <col min="11021" max="11021" width="31.42578125" style="6" customWidth="1"/>
    <col min="11022" max="11022" width="46.42578125" style="6" customWidth="1"/>
    <col min="11023" max="11023" width="24.5703125" style="6" customWidth="1"/>
    <col min="11024" max="11272" width="11.42578125" style="6"/>
    <col min="11273" max="11273" width="43.7109375" style="6" customWidth="1"/>
    <col min="11274" max="11274" width="3.7109375" style="6" customWidth="1"/>
    <col min="11275" max="11275" width="42.140625" style="6" customWidth="1"/>
    <col min="11276" max="11276" width="3.7109375" style="6" customWidth="1"/>
    <col min="11277" max="11277" width="31.42578125" style="6" customWidth="1"/>
    <col min="11278" max="11278" width="46.42578125" style="6" customWidth="1"/>
    <col min="11279" max="11279" width="24.5703125" style="6" customWidth="1"/>
    <col min="11280" max="11528" width="11.42578125" style="6"/>
    <col min="11529" max="11529" width="43.7109375" style="6" customWidth="1"/>
    <col min="11530" max="11530" width="3.7109375" style="6" customWidth="1"/>
    <col min="11531" max="11531" width="42.140625" style="6" customWidth="1"/>
    <col min="11532" max="11532" width="3.7109375" style="6" customWidth="1"/>
    <col min="11533" max="11533" width="31.42578125" style="6" customWidth="1"/>
    <col min="11534" max="11534" width="46.42578125" style="6" customWidth="1"/>
    <col min="11535" max="11535" width="24.5703125" style="6" customWidth="1"/>
    <col min="11536" max="11784" width="11.42578125" style="6"/>
    <col min="11785" max="11785" width="43.7109375" style="6" customWidth="1"/>
    <col min="11786" max="11786" width="3.7109375" style="6" customWidth="1"/>
    <col min="11787" max="11787" width="42.140625" style="6" customWidth="1"/>
    <col min="11788" max="11788" width="3.7109375" style="6" customWidth="1"/>
    <col min="11789" max="11789" width="31.42578125" style="6" customWidth="1"/>
    <col min="11790" max="11790" width="46.42578125" style="6" customWidth="1"/>
    <col min="11791" max="11791" width="24.5703125" style="6" customWidth="1"/>
    <col min="11792" max="12040" width="11.42578125" style="6"/>
    <col min="12041" max="12041" width="43.7109375" style="6" customWidth="1"/>
    <col min="12042" max="12042" width="3.7109375" style="6" customWidth="1"/>
    <col min="12043" max="12043" width="42.140625" style="6" customWidth="1"/>
    <col min="12044" max="12044" width="3.7109375" style="6" customWidth="1"/>
    <col min="12045" max="12045" width="31.42578125" style="6" customWidth="1"/>
    <col min="12046" max="12046" width="46.42578125" style="6" customWidth="1"/>
    <col min="12047" max="12047" width="24.5703125" style="6" customWidth="1"/>
    <col min="12048" max="12296" width="11.42578125" style="6"/>
    <col min="12297" max="12297" width="43.7109375" style="6" customWidth="1"/>
    <col min="12298" max="12298" width="3.7109375" style="6" customWidth="1"/>
    <col min="12299" max="12299" width="42.140625" style="6" customWidth="1"/>
    <col min="12300" max="12300" width="3.7109375" style="6" customWidth="1"/>
    <col min="12301" max="12301" width="31.42578125" style="6" customWidth="1"/>
    <col min="12302" max="12302" width="46.42578125" style="6" customWidth="1"/>
    <col min="12303" max="12303" width="24.5703125" style="6" customWidth="1"/>
    <col min="12304" max="12552" width="11.42578125" style="6"/>
    <col min="12553" max="12553" width="43.7109375" style="6" customWidth="1"/>
    <col min="12554" max="12554" width="3.7109375" style="6" customWidth="1"/>
    <col min="12555" max="12555" width="42.140625" style="6" customWidth="1"/>
    <col min="12556" max="12556" width="3.7109375" style="6" customWidth="1"/>
    <col min="12557" max="12557" width="31.42578125" style="6" customWidth="1"/>
    <col min="12558" max="12558" width="46.42578125" style="6" customWidth="1"/>
    <col min="12559" max="12559" width="24.5703125" style="6" customWidth="1"/>
    <col min="12560" max="12808" width="11.42578125" style="6"/>
    <col min="12809" max="12809" width="43.7109375" style="6" customWidth="1"/>
    <col min="12810" max="12810" width="3.7109375" style="6" customWidth="1"/>
    <col min="12811" max="12811" width="42.140625" style="6" customWidth="1"/>
    <col min="12812" max="12812" width="3.7109375" style="6" customWidth="1"/>
    <col min="12813" max="12813" width="31.42578125" style="6" customWidth="1"/>
    <col min="12814" max="12814" width="46.42578125" style="6" customWidth="1"/>
    <col min="12815" max="12815" width="24.5703125" style="6" customWidth="1"/>
    <col min="12816" max="13064" width="11.42578125" style="6"/>
    <col min="13065" max="13065" width="43.7109375" style="6" customWidth="1"/>
    <col min="13066" max="13066" width="3.7109375" style="6" customWidth="1"/>
    <col min="13067" max="13067" width="42.140625" style="6" customWidth="1"/>
    <col min="13068" max="13068" width="3.7109375" style="6" customWidth="1"/>
    <col min="13069" max="13069" width="31.42578125" style="6" customWidth="1"/>
    <col min="13070" max="13070" width="46.42578125" style="6" customWidth="1"/>
    <col min="13071" max="13071" width="24.5703125" style="6" customWidth="1"/>
    <col min="13072" max="13320" width="11.42578125" style="6"/>
    <col min="13321" max="13321" width="43.7109375" style="6" customWidth="1"/>
    <col min="13322" max="13322" width="3.7109375" style="6" customWidth="1"/>
    <col min="13323" max="13323" width="42.140625" style="6" customWidth="1"/>
    <col min="13324" max="13324" width="3.7109375" style="6" customWidth="1"/>
    <col min="13325" max="13325" width="31.42578125" style="6" customWidth="1"/>
    <col min="13326" max="13326" width="46.42578125" style="6" customWidth="1"/>
    <col min="13327" max="13327" width="24.5703125" style="6" customWidth="1"/>
    <col min="13328" max="13576" width="11.42578125" style="6"/>
    <col min="13577" max="13577" width="43.7109375" style="6" customWidth="1"/>
    <col min="13578" max="13578" width="3.7109375" style="6" customWidth="1"/>
    <col min="13579" max="13579" width="42.140625" style="6" customWidth="1"/>
    <col min="13580" max="13580" width="3.7109375" style="6" customWidth="1"/>
    <col min="13581" max="13581" width="31.42578125" style="6" customWidth="1"/>
    <col min="13582" max="13582" width="46.42578125" style="6" customWidth="1"/>
    <col min="13583" max="13583" width="24.5703125" style="6" customWidth="1"/>
    <col min="13584" max="13832" width="11.42578125" style="6"/>
    <col min="13833" max="13833" width="43.7109375" style="6" customWidth="1"/>
    <col min="13834" max="13834" width="3.7109375" style="6" customWidth="1"/>
    <col min="13835" max="13835" width="42.140625" style="6" customWidth="1"/>
    <col min="13836" max="13836" width="3.7109375" style="6" customWidth="1"/>
    <col min="13837" max="13837" width="31.42578125" style="6" customWidth="1"/>
    <col min="13838" max="13838" width="46.42578125" style="6" customWidth="1"/>
    <col min="13839" max="13839" width="24.5703125" style="6" customWidth="1"/>
    <col min="13840" max="14088" width="11.42578125" style="6"/>
    <col min="14089" max="14089" width="43.7109375" style="6" customWidth="1"/>
    <col min="14090" max="14090" width="3.7109375" style="6" customWidth="1"/>
    <col min="14091" max="14091" width="42.140625" style="6" customWidth="1"/>
    <col min="14092" max="14092" width="3.7109375" style="6" customWidth="1"/>
    <col min="14093" max="14093" width="31.42578125" style="6" customWidth="1"/>
    <col min="14094" max="14094" width="46.42578125" style="6" customWidth="1"/>
    <col min="14095" max="14095" width="24.5703125" style="6" customWidth="1"/>
    <col min="14096" max="14344" width="11.42578125" style="6"/>
    <col min="14345" max="14345" width="43.7109375" style="6" customWidth="1"/>
    <col min="14346" max="14346" width="3.7109375" style="6" customWidth="1"/>
    <col min="14347" max="14347" width="42.140625" style="6" customWidth="1"/>
    <col min="14348" max="14348" width="3.7109375" style="6" customWidth="1"/>
    <col min="14349" max="14349" width="31.42578125" style="6" customWidth="1"/>
    <col min="14350" max="14350" width="46.42578125" style="6" customWidth="1"/>
    <col min="14351" max="14351" width="24.5703125" style="6" customWidth="1"/>
    <col min="14352" max="14600" width="11.42578125" style="6"/>
    <col min="14601" max="14601" width="43.7109375" style="6" customWidth="1"/>
    <col min="14602" max="14602" width="3.7109375" style="6" customWidth="1"/>
    <col min="14603" max="14603" width="42.140625" style="6" customWidth="1"/>
    <col min="14604" max="14604" width="3.7109375" style="6" customWidth="1"/>
    <col min="14605" max="14605" width="31.42578125" style="6" customWidth="1"/>
    <col min="14606" max="14606" width="46.42578125" style="6" customWidth="1"/>
    <col min="14607" max="14607" width="24.5703125" style="6" customWidth="1"/>
    <col min="14608" max="14856" width="11.42578125" style="6"/>
    <col min="14857" max="14857" width="43.7109375" style="6" customWidth="1"/>
    <col min="14858" max="14858" width="3.7109375" style="6" customWidth="1"/>
    <col min="14859" max="14859" width="42.140625" style="6" customWidth="1"/>
    <col min="14860" max="14860" width="3.7109375" style="6" customWidth="1"/>
    <col min="14861" max="14861" width="31.42578125" style="6" customWidth="1"/>
    <col min="14862" max="14862" width="46.42578125" style="6" customWidth="1"/>
    <col min="14863" max="14863" width="24.5703125" style="6" customWidth="1"/>
    <col min="14864" max="15112" width="11.42578125" style="6"/>
    <col min="15113" max="15113" width="43.7109375" style="6" customWidth="1"/>
    <col min="15114" max="15114" width="3.7109375" style="6" customWidth="1"/>
    <col min="15115" max="15115" width="42.140625" style="6" customWidth="1"/>
    <col min="15116" max="15116" width="3.7109375" style="6" customWidth="1"/>
    <col min="15117" max="15117" width="31.42578125" style="6" customWidth="1"/>
    <col min="15118" max="15118" width="46.42578125" style="6" customWidth="1"/>
    <col min="15119" max="15119" width="24.5703125" style="6" customWidth="1"/>
    <col min="15120" max="15368" width="11.42578125" style="6"/>
    <col min="15369" max="15369" width="43.7109375" style="6" customWidth="1"/>
    <col min="15370" max="15370" width="3.7109375" style="6" customWidth="1"/>
    <col min="15371" max="15371" width="42.140625" style="6" customWidth="1"/>
    <col min="15372" max="15372" width="3.7109375" style="6" customWidth="1"/>
    <col min="15373" max="15373" width="31.42578125" style="6" customWidth="1"/>
    <col min="15374" max="15374" width="46.42578125" style="6" customWidth="1"/>
    <col min="15375" max="15375" width="24.5703125" style="6" customWidth="1"/>
    <col min="15376" max="15624" width="11.42578125" style="6"/>
    <col min="15625" max="15625" width="43.7109375" style="6" customWidth="1"/>
    <col min="15626" max="15626" width="3.7109375" style="6" customWidth="1"/>
    <col min="15627" max="15627" width="42.140625" style="6" customWidth="1"/>
    <col min="15628" max="15628" width="3.7109375" style="6" customWidth="1"/>
    <col min="15629" max="15629" width="31.42578125" style="6" customWidth="1"/>
    <col min="15630" max="15630" width="46.42578125" style="6" customWidth="1"/>
    <col min="15631" max="15631" width="24.5703125" style="6" customWidth="1"/>
    <col min="15632" max="15880" width="11.42578125" style="6"/>
    <col min="15881" max="15881" width="43.7109375" style="6" customWidth="1"/>
    <col min="15882" max="15882" width="3.7109375" style="6" customWidth="1"/>
    <col min="15883" max="15883" width="42.140625" style="6" customWidth="1"/>
    <col min="15884" max="15884" width="3.7109375" style="6" customWidth="1"/>
    <col min="15885" max="15885" width="31.42578125" style="6" customWidth="1"/>
    <col min="15886" max="15886" width="46.42578125" style="6" customWidth="1"/>
    <col min="15887" max="15887" width="24.5703125" style="6" customWidth="1"/>
    <col min="15888" max="16136" width="11.42578125" style="6"/>
    <col min="16137" max="16137" width="43.7109375" style="6" customWidth="1"/>
    <col min="16138" max="16138" width="3.7109375" style="6" customWidth="1"/>
    <col min="16139" max="16139" width="42.140625" style="6" customWidth="1"/>
    <col min="16140" max="16140" width="3.7109375" style="6" customWidth="1"/>
    <col min="16141" max="16141" width="31.42578125" style="6" customWidth="1"/>
    <col min="16142" max="16142" width="46.42578125" style="6" customWidth="1"/>
    <col min="16143" max="16143" width="24.5703125" style="6" customWidth="1"/>
    <col min="16144" max="16384" width="11.42578125" style="6"/>
  </cols>
  <sheetData>
    <row r="1" spans="1:15">
      <c r="A1" s="2" t="s">
        <v>34</v>
      </c>
      <c r="B1" s="3"/>
      <c r="C1" s="2" t="s">
        <v>35</v>
      </c>
      <c r="D1" s="3"/>
      <c r="E1" s="2" t="s">
        <v>40</v>
      </c>
      <c r="F1" s="3"/>
      <c r="G1" s="2" t="s">
        <v>170</v>
      </c>
      <c r="H1" s="3"/>
      <c r="I1" s="2" t="s">
        <v>235</v>
      </c>
      <c r="J1" s="3"/>
      <c r="K1" s="2" t="s">
        <v>299</v>
      </c>
      <c r="L1" s="3"/>
      <c r="M1" s="2" t="s">
        <v>356</v>
      </c>
      <c r="N1" s="4" t="s">
        <v>36</v>
      </c>
      <c r="O1" s="5" t="s">
        <v>37</v>
      </c>
    </row>
    <row r="2" spans="1:15">
      <c r="A2" s="38"/>
      <c r="B2" s="25"/>
      <c r="C2" s="25"/>
      <c r="D2" s="25"/>
      <c r="E2" s="42" t="s">
        <v>51</v>
      </c>
      <c r="F2" s="25"/>
      <c r="G2" s="25"/>
      <c r="H2" s="25"/>
      <c r="I2" s="25"/>
      <c r="J2" s="25"/>
      <c r="K2" s="25"/>
      <c r="L2" s="25"/>
      <c r="M2" s="25"/>
      <c r="N2" s="25"/>
      <c r="O2" s="7" t="s">
        <v>34</v>
      </c>
    </row>
    <row r="3" spans="1:15">
      <c r="A3" s="8" t="s">
        <v>38</v>
      </c>
      <c r="B3" s="9"/>
      <c r="C3" s="8" t="s">
        <v>39</v>
      </c>
      <c r="D3" s="9"/>
      <c r="E3" s="8" t="s">
        <v>111</v>
      </c>
      <c r="F3" s="9"/>
      <c r="G3" s="8" t="s">
        <v>171</v>
      </c>
      <c r="H3" s="9"/>
      <c r="I3" s="8" t="s">
        <v>236</v>
      </c>
      <c r="J3" s="9"/>
      <c r="K3" s="8" t="s">
        <v>300</v>
      </c>
      <c r="L3" s="9"/>
      <c r="M3" s="8" t="s">
        <v>357</v>
      </c>
      <c r="N3" s="40" t="str">
        <f>IF(Template!$AT$1="Français",A3,IF(Template!$AT$1="English",C3,IF(Template!$AT$1="Slovak",E3,IF(Template!$AT$1="Deutsch",G3,IF(Template!$AT$1="Spanish",I3,IF(Template!$AT$1="Portuguese",K3,IF(Template!$AT$1="Polski",M3,)))))))</f>
        <v>Langue</v>
      </c>
      <c r="O3" s="10" t="s">
        <v>35</v>
      </c>
    </row>
    <row r="4" spans="1:15" ht="38.25">
      <c r="A4" s="18" t="s">
        <v>169</v>
      </c>
      <c r="B4" s="11"/>
      <c r="C4" s="18" t="s">
        <v>169</v>
      </c>
      <c r="D4" s="11"/>
      <c r="E4" s="18" t="s">
        <v>110</v>
      </c>
      <c r="F4" s="9"/>
      <c r="G4" s="18" t="s">
        <v>169</v>
      </c>
      <c r="H4" s="9"/>
      <c r="I4" s="18" t="s">
        <v>237</v>
      </c>
      <c r="J4" s="9"/>
      <c r="K4" s="18" t="s">
        <v>169</v>
      </c>
      <c r="L4" s="9"/>
      <c r="M4" s="18" t="s">
        <v>404</v>
      </c>
      <c r="N4" s="40" t="str">
        <f>IF(Template!$AT$1="Français",A4,IF(Template!$AT$1="English",C4,IF(Template!$AT$1="Slovak",E4,IF(Template!$AT$1="Deutsch",G4,IF(Template!$AT$1="Spanish",I4,IF(Template!$AT$1="Portuguese",K4,IF(Template!$AT$1="Polski",M4,)))))))</f>
        <v>STANDARD OPERATION SHEET
 ANALYSIS (SOS-A)</v>
      </c>
      <c r="O4" s="10" t="s">
        <v>40</v>
      </c>
    </row>
    <row r="5" spans="1:15">
      <c r="A5" s="8" t="s">
        <v>4</v>
      </c>
      <c r="B5" s="9"/>
      <c r="C5" s="8" t="s">
        <v>68</v>
      </c>
      <c r="D5" s="11"/>
      <c r="E5" s="8" t="s">
        <v>112</v>
      </c>
      <c r="F5" s="11"/>
      <c r="G5" s="8" t="s">
        <v>172</v>
      </c>
      <c r="H5" s="11"/>
      <c r="I5" s="8" t="s">
        <v>238</v>
      </c>
      <c r="J5" s="11"/>
      <c r="K5" s="8" t="s">
        <v>301</v>
      </c>
      <c r="L5" s="11"/>
      <c r="M5" s="8" t="s">
        <v>358</v>
      </c>
      <c r="N5" s="40" t="str">
        <f>IF(Template!$AT$1="Français",A5,IF(Template!$AT$1="English",C5,IF(Template!$AT$1="Slovak",E5,IF(Template!$AT$1="Deutsch",G5,IF(Template!$AT$1="Spanish",I5,IF(Template!$AT$1="Portuguese",K5,IF(Template!$AT$1="Polski",M5,)))))))</f>
        <v>Poste de travail :</v>
      </c>
      <c r="O5" s="10" t="s">
        <v>170</v>
      </c>
    </row>
    <row r="6" spans="1:15">
      <c r="A6" s="8" t="s">
        <v>6</v>
      </c>
      <c r="B6" s="12"/>
      <c r="C6" s="13" t="s">
        <v>69</v>
      </c>
      <c r="D6" s="9"/>
      <c r="E6" s="8" t="s">
        <v>113</v>
      </c>
      <c r="F6" s="9"/>
      <c r="G6" s="8" t="s">
        <v>173</v>
      </c>
      <c r="H6" s="9"/>
      <c r="I6" s="8" t="s">
        <v>239</v>
      </c>
      <c r="J6" s="9"/>
      <c r="K6" s="8" t="s">
        <v>302</v>
      </c>
      <c r="L6" s="9"/>
      <c r="M6" s="8" t="s">
        <v>359</v>
      </c>
      <c r="N6" s="40" t="str">
        <f>IF(Template!$AT$1="Français",A6,IF(Template!$AT$1="English",C6,IF(Template!$AT$1="Slovak",E6,IF(Template!$AT$1="Deutsch",G6,IF(Template!$AT$1="Spanish",I6,IF(Template!$AT$1="Portuguese",K6,IF(Template!$AT$1="Polski",M6,)))))))</f>
        <v>Activité:</v>
      </c>
      <c r="O6" s="10" t="s">
        <v>235</v>
      </c>
    </row>
    <row r="7" spans="1:15">
      <c r="A7" s="8" t="s">
        <v>5</v>
      </c>
      <c r="B7" s="9"/>
      <c r="C7" s="8" t="s">
        <v>70</v>
      </c>
      <c r="D7" s="9"/>
      <c r="E7" s="8" t="s">
        <v>114</v>
      </c>
      <c r="F7" s="9"/>
      <c r="G7" s="8" t="s">
        <v>174</v>
      </c>
      <c r="H7" s="9"/>
      <c r="I7" s="8" t="s">
        <v>240</v>
      </c>
      <c r="J7" s="9"/>
      <c r="K7" s="8" t="s">
        <v>303</v>
      </c>
      <c r="L7" s="9"/>
      <c r="M7" s="8" t="s">
        <v>174</v>
      </c>
      <c r="N7" s="40" t="str">
        <f>IF(Template!$AT$1="Français",A7,IF(Template!$AT$1="English",C7,IF(Template!$AT$1="Slovak",E7,IF(Template!$AT$1="Deutsch",G7,IF(Template!$AT$1="Spanish",I7,IF(Template!$AT$1="Portuguese",K7,IF(Template!$AT$1="Polski",M7,)))))))</f>
        <v>Produit:</v>
      </c>
      <c r="O7" s="10" t="s">
        <v>299</v>
      </c>
    </row>
    <row r="8" spans="1:15" ht="25.5">
      <c r="A8" s="39" t="s">
        <v>20</v>
      </c>
      <c r="B8" s="11"/>
      <c r="C8" s="18" t="s">
        <v>71</v>
      </c>
      <c r="D8" s="11"/>
      <c r="E8" s="18" t="s">
        <v>115</v>
      </c>
      <c r="F8" s="11"/>
      <c r="G8" s="18" t="s">
        <v>175</v>
      </c>
      <c r="H8" s="11"/>
      <c r="I8" s="18" t="s">
        <v>241</v>
      </c>
      <c r="J8" s="11"/>
      <c r="K8" s="18" t="s">
        <v>304</v>
      </c>
      <c r="L8" s="11"/>
      <c r="M8" s="18" t="s">
        <v>360</v>
      </c>
      <c r="N8" s="40" t="str">
        <f>IF(Template!$AT$1="Français",A8,IF(Template!$AT$1="English",C8,IF(Template!$AT$1="Slovak",E8,IF(Template!$AT$1="Deutsch",G8,IF(Template!$AT$1="Spanish",I8,IF(Template!$AT$1="Portuguese",K8,IF(Template!$AT$1="Polski",M8,)))))))</f>
        <v>Équipement de protection personnel (PPE)</v>
      </c>
      <c r="O8" s="10" t="s">
        <v>356</v>
      </c>
    </row>
    <row r="9" spans="1:15">
      <c r="A9" s="8" t="s">
        <v>7</v>
      </c>
      <c r="B9" s="9"/>
      <c r="C9" s="8" t="s">
        <v>72</v>
      </c>
      <c r="D9" s="9"/>
      <c r="E9" s="8" t="s">
        <v>116</v>
      </c>
      <c r="F9" s="9"/>
      <c r="G9" s="8" t="s">
        <v>176</v>
      </c>
      <c r="H9" s="9"/>
      <c r="I9" s="8" t="s">
        <v>242</v>
      </c>
      <c r="J9" s="9"/>
      <c r="K9" s="8" t="s">
        <v>305</v>
      </c>
      <c r="L9" s="9"/>
      <c r="M9" s="8" t="s">
        <v>361</v>
      </c>
      <c r="N9" s="40" t="str">
        <f>IF(Template!$AT$1="Français",A9,IF(Template!$AT$1="English",C9,IF(Template!$AT$1="Slovak",E9,IF(Template!$AT$1="Deutsch",G9,IF(Template!$AT$1="Spanish",I9,IF(Template!$AT$1="Portuguese",K9,IF(Template!$AT$1="Polski",M9,)))))))</f>
        <v>Chaussures de sécurité</v>
      </c>
      <c r="O9" s="14"/>
    </row>
    <row r="10" spans="1:15">
      <c r="A10" s="8" t="s">
        <v>8</v>
      </c>
      <c r="B10" s="9"/>
      <c r="C10" s="8" t="s">
        <v>73</v>
      </c>
      <c r="D10" s="9"/>
      <c r="E10" s="8" t="s">
        <v>117</v>
      </c>
      <c r="F10" s="9"/>
      <c r="G10" s="8" t="s">
        <v>177</v>
      </c>
      <c r="H10" s="9"/>
      <c r="I10" s="8" t="s">
        <v>243</v>
      </c>
      <c r="J10" s="9"/>
      <c r="K10" s="8" t="s">
        <v>306</v>
      </c>
      <c r="L10" s="9"/>
      <c r="M10" s="8" t="s">
        <v>362</v>
      </c>
      <c r="N10" s="40" t="str">
        <f>IF(Template!$AT$1="Français",A10,IF(Template!$AT$1="English",C10,IF(Template!$AT$1="Slovak",E10,IF(Template!$AT$1="Deutsch",G10,IF(Template!$AT$1="Spanish",I10,IF(Template!$AT$1="Portuguese",K10,IF(Template!$AT$1="Polski",M10,)))))))</f>
        <v>Tenue de travail</v>
      </c>
      <c r="O10" s="14"/>
    </row>
    <row r="11" spans="1:15">
      <c r="A11" s="8" t="s">
        <v>9</v>
      </c>
      <c r="B11" s="9"/>
      <c r="C11" s="8" t="s">
        <v>74</v>
      </c>
      <c r="D11" s="9"/>
      <c r="E11" s="8" t="s">
        <v>118</v>
      </c>
      <c r="F11" s="9"/>
      <c r="G11" s="8" t="s">
        <v>178</v>
      </c>
      <c r="H11" s="9"/>
      <c r="I11" s="8" t="s">
        <v>244</v>
      </c>
      <c r="J11" s="9"/>
      <c r="K11" s="8" t="s">
        <v>307</v>
      </c>
      <c r="L11" s="9"/>
      <c r="M11" s="8" t="s">
        <v>363</v>
      </c>
      <c r="N11" s="40" t="str">
        <f>IF(Template!$AT$1="Français",A11,IF(Template!$AT$1="English",C11,IF(Template!$AT$1="Slovak",E11,IF(Template!$AT$1="Deutsch",G11,IF(Template!$AT$1="Spanish",I11,IF(Template!$AT$1="Portuguese",K11,IF(Template!$AT$1="Polski",M11,)))))))</f>
        <v>Protection de la tête</v>
      </c>
      <c r="O11" s="14"/>
    </row>
    <row r="12" spans="1:15">
      <c r="A12" s="8" t="s">
        <v>10</v>
      </c>
      <c r="B12" s="9"/>
      <c r="C12" s="8" t="s">
        <v>75</v>
      </c>
      <c r="D12" s="9"/>
      <c r="E12" s="8" t="s">
        <v>119</v>
      </c>
      <c r="F12" s="9"/>
      <c r="G12" s="8" t="s">
        <v>179</v>
      </c>
      <c r="H12" s="9"/>
      <c r="I12" s="8" t="s">
        <v>245</v>
      </c>
      <c r="J12" s="9"/>
      <c r="K12" s="8" t="s">
        <v>308</v>
      </c>
      <c r="L12" s="9"/>
      <c r="M12" s="8" t="s">
        <v>364</v>
      </c>
      <c r="N12" s="40" t="str">
        <f>IF(Template!$AT$1="Français",A12,IF(Template!$AT$1="English",C12,IF(Template!$AT$1="Slovak",E12,IF(Template!$AT$1="Deutsch",G12,IF(Template!$AT$1="Spanish",I12,IF(Template!$AT$1="Portuguese",K12,IF(Template!$AT$1="Polski",M12,)))))))</f>
        <v>Gants</v>
      </c>
      <c r="O12" s="14"/>
    </row>
    <row r="13" spans="1:15">
      <c r="A13" s="8" t="s">
        <v>22</v>
      </c>
      <c r="B13" s="9"/>
      <c r="C13" s="8" t="s">
        <v>76</v>
      </c>
      <c r="D13" s="9"/>
      <c r="E13" s="8" t="s">
        <v>120</v>
      </c>
      <c r="F13" s="9"/>
      <c r="G13" s="8" t="s">
        <v>180</v>
      </c>
      <c r="H13" s="9"/>
      <c r="I13" s="8" t="s">
        <v>246</v>
      </c>
      <c r="J13" s="9"/>
      <c r="K13" s="8" t="s">
        <v>309</v>
      </c>
      <c r="L13" s="9"/>
      <c r="M13" s="8" t="s">
        <v>365</v>
      </c>
      <c r="N13" s="40" t="str">
        <f>IF(Template!$AT$1="Français",A13,IF(Template!$AT$1="English",C13,IF(Template!$AT$1="Slovak",E13,IF(Template!$AT$1="Deutsch",G13,IF(Template!$AT$1="Spanish",I13,IF(Template!$AT$1="Portuguese",K13,IF(Template!$AT$1="Polski",M13,)))))))</f>
        <v>Gilet</v>
      </c>
      <c r="O13" s="14"/>
    </row>
    <row r="14" spans="1:15">
      <c r="A14" s="8" t="s">
        <v>11</v>
      </c>
      <c r="B14" s="9"/>
      <c r="C14" s="8" t="s">
        <v>77</v>
      </c>
      <c r="D14" s="9"/>
      <c r="E14" s="8" t="s">
        <v>121</v>
      </c>
      <c r="F14" s="9"/>
      <c r="G14" s="8" t="s">
        <v>181</v>
      </c>
      <c r="H14" s="9"/>
      <c r="I14" s="8" t="s">
        <v>247</v>
      </c>
      <c r="J14" s="9"/>
      <c r="K14" s="8" t="s">
        <v>310</v>
      </c>
      <c r="L14" s="9"/>
      <c r="M14" s="8" t="s">
        <v>366</v>
      </c>
      <c r="N14" s="40" t="str">
        <f>IF(Template!$AT$1="Français",A14,IF(Template!$AT$1="English",C14,IF(Template!$AT$1="Slovak",E14,IF(Template!$AT$1="Deutsch",G14,IF(Template!$AT$1="Spanish",I14,IF(Template!$AT$1="Portuguese",K14,IF(Template!$AT$1="Polski",M14,)))))))</f>
        <v>Lunettes</v>
      </c>
      <c r="O14" s="14"/>
    </row>
    <row r="15" spans="1:15">
      <c r="A15" s="8" t="s">
        <v>12</v>
      </c>
      <c r="B15" s="9"/>
      <c r="C15" s="8" t="s">
        <v>78</v>
      </c>
      <c r="D15" s="9"/>
      <c r="E15" s="8" t="s">
        <v>122</v>
      </c>
      <c r="F15" s="9"/>
      <c r="G15" s="8" t="s">
        <v>182</v>
      </c>
      <c r="H15" s="9"/>
      <c r="I15" s="8" t="s">
        <v>248</v>
      </c>
      <c r="J15" s="9"/>
      <c r="K15" s="8" t="s">
        <v>311</v>
      </c>
      <c r="L15" s="9"/>
      <c r="M15" s="8" t="s">
        <v>367</v>
      </c>
      <c r="N15" s="40" t="str">
        <f>IF(Template!$AT$1="Français",A15,IF(Template!$AT$1="English",C15,IF(Template!$AT$1="Slovak",E15,IF(Template!$AT$1="Deutsch",G15,IF(Template!$AT$1="Spanish",I15,IF(Template!$AT$1="Portuguese",K15,IF(Template!$AT$1="Polski",M15,)))))))</f>
        <v>Protection auditive</v>
      </c>
      <c r="O15" s="14"/>
    </row>
    <row r="16" spans="1:15">
      <c r="A16" s="8" t="s">
        <v>23</v>
      </c>
      <c r="B16" s="9"/>
      <c r="C16" s="8" t="s">
        <v>79</v>
      </c>
      <c r="D16" s="9"/>
      <c r="E16" s="8" t="s">
        <v>123</v>
      </c>
      <c r="F16" s="9"/>
      <c r="G16" s="8" t="s">
        <v>183</v>
      </c>
      <c r="H16" s="9"/>
      <c r="I16" s="8" t="s">
        <v>249</v>
      </c>
      <c r="J16" s="9"/>
      <c r="K16" s="8" t="s">
        <v>249</v>
      </c>
      <c r="L16" s="9"/>
      <c r="M16" s="8" t="s">
        <v>410</v>
      </c>
      <c r="N16" s="40" t="str">
        <f>IF(Template!$AT$1="Français",A16,IF(Template!$AT$1="English",C16,IF(Template!$AT$1="Slovak",E16,IF(Template!$AT$1="Deutsch",G16,IF(Template!$AT$1="Spanish",I16,IF(Template!$AT$1="Portuguese",K16,IF(Template!$AT$1="Polski",M16,)))))))</f>
        <v>Masque</v>
      </c>
      <c r="O16" s="14"/>
    </row>
    <row r="17" spans="1:15">
      <c r="A17" s="8" t="s">
        <v>13</v>
      </c>
      <c r="B17" s="9"/>
      <c r="C17" s="8" t="s">
        <v>80</v>
      </c>
      <c r="D17" s="9"/>
      <c r="E17" s="8" t="s">
        <v>124</v>
      </c>
      <c r="F17" s="9"/>
      <c r="G17" s="8" t="s">
        <v>184</v>
      </c>
      <c r="H17" s="9"/>
      <c r="I17" s="8" t="s">
        <v>250</v>
      </c>
      <c r="J17" s="9"/>
      <c r="K17" s="8" t="s">
        <v>312</v>
      </c>
      <c r="L17" s="9"/>
      <c r="M17" s="8" t="s">
        <v>368</v>
      </c>
      <c r="N17" s="40" t="str">
        <f>IF(Template!$AT$1="Français",A17,IF(Template!$AT$1="English",C17,IF(Template!$AT$1="Slovak",E17,IF(Template!$AT$1="Deutsch",G17,IF(Template!$AT$1="Spanish",I17,IF(Template!$AT$1="Portuguese",K17,IF(Template!$AT$1="Polski",M17,)))))))</f>
        <v>Matière dangereuse</v>
      </c>
      <c r="O17" s="2"/>
    </row>
    <row r="18" spans="1:15">
      <c r="A18" s="8" t="s">
        <v>14</v>
      </c>
      <c r="B18" s="9"/>
      <c r="C18" s="8" t="s">
        <v>81</v>
      </c>
      <c r="D18" s="9"/>
      <c r="E18" s="8" t="s">
        <v>125</v>
      </c>
      <c r="F18" s="9"/>
      <c r="G18" s="8" t="s">
        <v>81</v>
      </c>
      <c r="H18" s="9"/>
      <c r="I18" s="8" t="s">
        <v>251</v>
      </c>
      <c r="J18" s="9"/>
      <c r="K18" s="8" t="s">
        <v>313</v>
      </c>
      <c r="L18" s="9"/>
      <c r="M18" s="8" t="s">
        <v>369</v>
      </c>
      <c r="N18" s="40" t="str">
        <f>IF(Template!$AT$1="Français",A18,IF(Template!$AT$1="English",C18,IF(Template!$AT$1="Slovak",E18,IF(Template!$AT$1="Deutsch",G18,IF(Template!$AT$1="Spanish",I18,IF(Template!$AT$1="Portuguese",K18,IF(Template!$AT$1="Polski",M18,)))))))</f>
        <v>Recyclage</v>
      </c>
      <c r="O18" s="14"/>
    </row>
    <row r="19" spans="1:15" ht="38.25">
      <c r="A19" s="18" t="s">
        <v>24</v>
      </c>
      <c r="B19" s="11"/>
      <c r="C19" s="18" t="s">
        <v>82</v>
      </c>
      <c r="D19" s="11"/>
      <c r="E19" s="18" t="s">
        <v>126</v>
      </c>
      <c r="F19" s="11"/>
      <c r="G19" s="18" t="s">
        <v>185</v>
      </c>
      <c r="H19" s="11"/>
      <c r="I19" s="18" t="s">
        <v>252</v>
      </c>
      <c r="J19" s="11"/>
      <c r="K19" s="18" t="s">
        <v>314</v>
      </c>
      <c r="L19" s="11"/>
      <c r="M19" s="18" t="s">
        <v>370</v>
      </c>
      <c r="N19" s="40" t="str">
        <f>IF(Template!$AT$1="Français",A19,IF(Template!$AT$1="English",C19,IF(Template!$AT$1="Slovak",E19,IF(Template!$AT$1="Deutsch",G19,IF(Template!$AT$1="Spanish",I19,IF(Template!$AT$1="Portuguese",K19,IF(Template!$AT$1="Polski",M19,)))))))</f>
        <v>Qu'est-ce qui est interdit et pourquoi ? Comment réagir ?</v>
      </c>
      <c r="O19" s="14"/>
    </row>
    <row r="20" spans="1:15">
      <c r="A20" s="8" t="s">
        <v>15</v>
      </c>
      <c r="B20" s="9"/>
      <c r="C20" s="8" t="s">
        <v>83</v>
      </c>
      <c r="D20" s="9"/>
      <c r="E20" s="8" t="s">
        <v>127</v>
      </c>
      <c r="F20" s="9"/>
      <c r="G20" s="8" t="s">
        <v>186</v>
      </c>
      <c r="H20" s="9"/>
      <c r="I20" s="8" t="s">
        <v>253</v>
      </c>
      <c r="J20" s="9"/>
      <c r="K20" s="8" t="s">
        <v>315</v>
      </c>
      <c r="L20" s="9"/>
      <c r="M20" s="8" t="s">
        <v>371</v>
      </c>
      <c r="N20" s="40" t="str">
        <f>IF(Template!$AT$1="Français",A20,IF(Template!$AT$1="English",C20,IF(Template!$AT$1="Slovak",E20,IF(Template!$AT$1="Deutsch",G20,IF(Template!$AT$1="Spanish",I20,IF(Template!$AT$1="Portuguese",K20,IF(Template!$AT$1="Polski",M20,)))))))</f>
        <v>Panoply:</v>
      </c>
      <c r="O20" s="14"/>
    </row>
    <row r="21" spans="1:15">
      <c r="A21" s="8" t="s">
        <v>21</v>
      </c>
      <c r="B21" s="9"/>
      <c r="C21" s="8" t="s">
        <v>84</v>
      </c>
      <c r="D21" s="9"/>
      <c r="E21" s="8" t="s">
        <v>128</v>
      </c>
      <c r="F21" s="9"/>
      <c r="G21" s="8" t="s">
        <v>187</v>
      </c>
      <c r="H21" s="9"/>
      <c r="I21" s="8" t="s">
        <v>254</v>
      </c>
      <c r="J21" s="9"/>
      <c r="K21" s="8" t="s">
        <v>316</v>
      </c>
      <c r="L21" s="9"/>
      <c r="M21" s="8" t="s">
        <v>372</v>
      </c>
      <c r="N21" s="40" t="str">
        <f>IF(Template!$AT$1="Français",A21,IF(Template!$AT$1="English",C21,IF(Template!$AT$1="Slovak",E21,IF(Template!$AT$1="Deutsch",G21,IF(Template!$AT$1="Spanish",I21,IF(Template!$AT$1="Portuguese",K21,IF(Template!$AT$1="Polski",M21,)))))))</f>
        <v>Piece zone:</v>
      </c>
      <c r="O21" s="14"/>
    </row>
    <row r="22" spans="1:15">
      <c r="A22" s="8" t="s">
        <v>52</v>
      </c>
      <c r="B22" s="9"/>
      <c r="C22" s="8" t="s">
        <v>85</v>
      </c>
      <c r="D22" s="9"/>
      <c r="E22" s="8" t="s">
        <v>129</v>
      </c>
      <c r="F22" s="9"/>
      <c r="G22" s="8" t="s">
        <v>188</v>
      </c>
      <c r="H22" s="9"/>
      <c r="I22" s="8" t="s">
        <v>255</v>
      </c>
      <c r="J22" s="9"/>
      <c r="K22" s="8" t="s">
        <v>317</v>
      </c>
      <c r="L22" s="9"/>
      <c r="M22" s="8" t="s">
        <v>373</v>
      </c>
      <c r="N22" s="40" t="str">
        <f>IF(Template!$AT$1="Français",A22,IF(Template!$AT$1="English",C22,IF(Template!$AT$1="Slovak",E22,IF(Template!$AT$1="Deutsch",G22,IF(Template!$AT$1="Spanish",I22,IF(Template!$AT$1="Portuguese",K22,IF(Template!$AT$1="Polski",M22,)))))))</f>
        <v>Oui</v>
      </c>
      <c r="O22" s="14"/>
    </row>
    <row r="23" spans="1:15">
      <c r="A23" s="8" t="s">
        <v>53</v>
      </c>
      <c r="B23" s="9"/>
      <c r="C23" s="8" t="s">
        <v>86</v>
      </c>
      <c r="D23" s="9"/>
      <c r="E23" s="8" t="s">
        <v>130</v>
      </c>
      <c r="F23" s="9"/>
      <c r="G23" s="8" t="s">
        <v>189</v>
      </c>
      <c r="H23" s="9"/>
      <c r="I23" s="8" t="s">
        <v>86</v>
      </c>
      <c r="J23" s="9"/>
      <c r="K23" s="8" t="s">
        <v>318</v>
      </c>
      <c r="L23" s="9"/>
      <c r="M23" s="8" t="s">
        <v>374</v>
      </c>
      <c r="N23" s="40" t="str">
        <f>IF(Template!$AT$1="Français",A23,IF(Template!$AT$1="English",C23,IF(Template!$AT$1="Slovak",E23,IF(Template!$AT$1="Deutsch",G23,IF(Template!$AT$1="Spanish",I23,IF(Template!$AT$1="Portuguese",K23,IF(Template!$AT$1="Polski",M23,)))))))</f>
        <v>Non</v>
      </c>
      <c r="O23" s="14"/>
    </row>
    <row r="24" spans="1:15">
      <c r="A24" s="8" t="s">
        <v>54</v>
      </c>
      <c r="B24" s="9"/>
      <c r="C24" s="8" t="s">
        <v>87</v>
      </c>
      <c r="D24" s="9"/>
      <c r="E24" s="8" t="s">
        <v>131</v>
      </c>
      <c r="F24" s="9"/>
      <c r="G24" s="8" t="s">
        <v>190</v>
      </c>
      <c r="H24" s="9"/>
      <c r="I24" s="8" t="s">
        <v>256</v>
      </c>
      <c r="J24" s="9"/>
      <c r="K24" s="8" t="s">
        <v>319</v>
      </c>
      <c r="L24" s="9"/>
      <c r="M24" s="8" t="s">
        <v>375</v>
      </c>
      <c r="N24" s="40" t="str">
        <f>IF(Template!$AT$1="Français",A24,IF(Template!$AT$1="English",C24,IF(Template!$AT$1="Slovak",E24,IF(Template!$AT$1="Deutsch",G24,IF(Template!$AT$1="Spanish",I24,IF(Template!$AT$1="Portuguese",K24,IF(Template!$AT$1="Polski",M24,)))))))</f>
        <v>Couleurs de zonage :</v>
      </c>
      <c r="O24" s="14"/>
    </row>
    <row r="25" spans="1:15">
      <c r="A25" s="8" t="s">
        <v>55</v>
      </c>
      <c r="B25" s="9"/>
      <c r="C25" s="8" t="s">
        <v>88</v>
      </c>
      <c r="D25" s="11"/>
      <c r="E25" s="8" t="s">
        <v>132</v>
      </c>
      <c r="F25" s="11"/>
      <c r="G25" s="8" t="s">
        <v>191</v>
      </c>
      <c r="H25" s="11"/>
      <c r="I25" s="8" t="s">
        <v>257</v>
      </c>
      <c r="J25" s="11"/>
      <c r="K25" s="8" t="s">
        <v>320</v>
      </c>
      <c r="L25" s="11"/>
      <c r="M25" s="8" t="s">
        <v>376</v>
      </c>
      <c r="N25" s="40" t="str">
        <f>IF(Template!$AT$1="Français",A25,IF(Template!$AT$1="English",C25,IF(Template!$AT$1="Slovak",E25,IF(Template!$AT$1="Deutsch",G25,IF(Template!$AT$1="Spanish",I25,IF(Template!$AT$1="Portuguese",K25,IF(Template!$AT$1="Polski",M25,)))))))</f>
        <v>A - Très visible</v>
      </c>
      <c r="O25" s="14"/>
    </row>
    <row r="26" spans="1:15">
      <c r="A26" s="8" t="s">
        <v>56</v>
      </c>
      <c r="B26" s="9"/>
      <c r="C26" s="8" t="s">
        <v>89</v>
      </c>
      <c r="D26" s="11"/>
      <c r="E26" s="8" t="s">
        <v>133</v>
      </c>
      <c r="F26" s="11"/>
      <c r="G26" s="8" t="s">
        <v>192</v>
      </c>
      <c r="H26" s="11"/>
      <c r="I26" s="8" t="s">
        <v>56</v>
      </c>
      <c r="J26" s="11"/>
      <c r="K26" s="8" t="s">
        <v>321</v>
      </c>
      <c r="L26" s="11"/>
      <c r="M26" s="8" t="s">
        <v>377</v>
      </c>
      <c r="N26" s="40" t="str">
        <f>IF(Template!$AT$1="Français",A26,IF(Template!$AT$1="English",C26,IF(Template!$AT$1="Slovak",E26,IF(Template!$AT$1="Deutsch",G26,IF(Template!$AT$1="Spanish",I26,IF(Template!$AT$1="Portuguese",K26,IF(Template!$AT$1="Polski",M26,)))))))</f>
        <v>B - Visible</v>
      </c>
      <c r="O26" s="14"/>
    </row>
    <row r="27" spans="1:15">
      <c r="A27" s="8" t="s">
        <v>57</v>
      </c>
      <c r="B27" s="9"/>
      <c r="C27" s="8" t="s">
        <v>90</v>
      </c>
      <c r="D27" s="9"/>
      <c r="E27" s="8" t="s">
        <v>134</v>
      </c>
      <c r="F27" s="9"/>
      <c r="G27" s="8" t="s">
        <v>193</v>
      </c>
      <c r="H27" s="9"/>
      <c r="I27" s="8" t="s">
        <v>258</v>
      </c>
      <c r="J27" s="9"/>
      <c r="K27" s="8" t="s">
        <v>322</v>
      </c>
      <c r="L27" s="9"/>
      <c r="M27" s="8" t="s">
        <v>378</v>
      </c>
      <c r="N27" s="40" t="str">
        <f>IF(Template!$AT$1="Français",A27,IF(Template!$AT$1="English",C27,IF(Template!$AT$1="Slovak",E27,IF(Template!$AT$1="Deutsch",G27,IF(Template!$AT$1="Spanish",I27,IF(Template!$AT$1="Portuguese",K27,IF(Template!$AT$1="Polski",M27,)))))))</f>
        <v>C - Peut-être visible</v>
      </c>
      <c r="O27" s="14"/>
    </row>
    <row r="28" spans="1:15">
      <c r="A28" s="8" t="s">
        <v>58</v>
      </c>
      <c r="B28" s="9"/>
      <c r="C28" s="8" t="s">
        <v>91</v>
      </c>
      <c r="D28" s="9"/>
      <c r="E28" s="8" t="s">
        <v>135</v>
      </c>
      <c r="F28" s="9"/>
      <c r="G28" s="8" t="s">
        <v>194</v>
      </c>
      <c r="H28" s="9"/>
      <c r="I28" s="8" t="s">
        <v>58</v>
      </c>
      <c r="J28" s="9"/>
      <c r="K28" s="8" t="s">
        <v>323</v>
      </c>
      <c r="L28" s="9"/>
      <c r="M28" s="8" t="s">
        <v>379</v>
      </c>
      <c r="N28" s="40" t="str">
        <f>IF(Template!$AT$1="Français",A28,IF(Template!$AT$1="English",C28,IF(Template!$AT$1="Slovak",E28,IF(Template!$AT$1="Deutsch",G28,IF(Template!$AT$1="Spanish",I28,IF(Template!$AT$1="Portuguese",K28,IF(Template!$AT$1="Polski",M28,)))))))</f>
        <v>D - Invisible</v>
      </c>
      <c r="O28" s="14"/>
    </row>
    <row r="29" spans="1:15" ht="25.5">
      <c r="A29" s="18" t="s">
        <v>25</v>
      </c>
      <c r="B29" s="11"/>
      <c r="C29" s="18" t="s">
        <v>92</v>
      </c>
      <c r="D29" s="11"/>
      <c r="E29" s="18" t="s">
        <v>136</v>
      </c>
      <c r="F29" s="11"/>
      <c r="G29" s="18" t="s">
        <v>195</v>
      </c>
      <c r="H29" s="11"/>
      <c r="I29" s="18" t="s">
        <v>259</v>
      </c>
      <c r="J29" s="11"/>
      <c r="K29" s="18" t="s">
        <v>324</v>
      </c>
      <c r="L29" s="11"/>
      <c r="M29" s="18" t="s">
        <v>380</v>
      </c>
      <c r="N29" s="40" t="str">
        <f>IF(Template!$AT$1="Français",A29,IF(Template!$AT$1="English",C29,IF(Template!$AT$1="Slovak",E29,IF(Template!$AT$1="Deutsch",G29,IF(Template!$AT$1="Spanish",I29,IF(Template!$AT$1="Portuguese",K29,IF(Template!$AT$1="Polski",M29,)))))))</f>
        <v>Produits et outils utilisés (rajouter les référence)</v>
      </c>
      <c r="O29" s="14"/>
    </row>
    <row r="30" spans="1:15">
      <c r="A30" s="18" t="s">
        <v>16</v>
      </c>
      <c r="B30" s="11"/>
      <c r="C30" s="18" t="s">
        <v>93</v>
      </c>
      <c r="D30" s="11"/>
      <c r="E30" s="18" t="s">
        <v>137</v>
      </c>
      <c r="F30" s="11"/>
      <c r="G30" s="18" t="s">
        <v>196</v>
      </c>
      <c r="H30" s="11"/>
      <c r="I30" s="18"/>
      <c r="J30" s="11"/>
      <c r="K30" s="18" t="s">
        <v>325</v>
      </c>
      <c r="L30" s="11"/>
      <c r="M30" s="18" t="s">
        <v>381</v>
      </c>
      <c r="N30" s="40" t="str">
        <f>IF(Template!$AT$1="Français",A30,IF(Template!$AT$1="English",C30,IF(Template!$AT$1="Slovak",E30,IF(Template!$AT$1="Deutsch",G30,IF(Template!$AT$1="Spanish",I30,IF(Template!$AT$1="Portuguese",K30,IF(Template!$AT$1="Polski",M30,)))))))</f>
        <v>Pictogrammes utilisés :</v>
      </c>
      <c r="O30" s="14"/>
    </row>
    <row r="31" spans="1:15">
      <c r="A31" s="8" t="s">
        <v>158</v>
      </c>
      <c r="B31" s="9"/>
      <c r="C31" s="8" t="s">
        <v>158</v>
      </c>
      <c r="D31" s="9"/>
      <c r="E31" s="8" t="s">
        <v>159</v>
      </c>
      <c r="F31" s="9"/>
      <c r="G31" s="8" t="s">
        <v>197</v>
      </c>
      <c r="H31" s="9"/>
      <c r="I31" s="8" t="s">
        <v>260</v>
      </c>
      <c r="J31" s="9"/>
      <c r="K31" s="8" t="s">
        <v>326</v>
      </c>
      <c r="L31" s="9"/>
      <c r="M31" s="8" t="s">
        <v>382</v>
      </c>
      <c r="N31" s="40" t="str">
        <f>IF(Template!$AT$1="Français",A31,IF(Template!$AT$1="English",C31,IF(Template!$AT$1="Slovak",E31,IF(Template!$AT$1="Deutsch",G31,IF(Template!$AT$1="Spanish",I31,IF(Template!$AT$1="Portuguese",K31,IF(Template!$AT$1="Polski",M31,)))))))</f>
        <v>Aspect</v>
      </c>
      <c r="O31" s="14"/>
    </row>
    <row r="32" spans="1:15">
      <c r="A32" s="8" t="s">
        <v>160</v>
      </c>
      <c r="B32" s="9"/>
      <c r="C32" s="8" t="s">
        <v>160</v>
      </c>
      <c r="D32" s="9"/>
      <c r="E32" s="8" t="s">
        <v>161</v>
      </c>
      <c r="F32" s="9"/>
      <c r="G32" s="8" t="s">
        <v>198</v>
      </c>
      <c r="H32" s="9"/>
      <c r="I32" s="8" t="s">
        <v>261</v>
      </c>
      <c r="J32" s="9"/>
      <c r="K32" s="8" t="s">
        <v>327</v>
      </c>
      <c r="L32" s="9"/>
      <c r="M32" s="8" t="s">
        <v>411</v>
      </c>
      <c r="N32" s="40" t="str">
        <f>IF(Template!$AT$1="Français",A32,IF(Template!$AT$1="English",C32,IF(Template!$AT$1="Slovak",E32,IF(Template!$AT$1="Deutsch",G32,IF(Template!$AT$1="Spanish",I32,IF(Template!$AT$1="Portuguese",K32,IF(Template!$AT$1="Polski",M32,)))))))</f>
        <v>Tactile</v>
      </c>
      <c r="O32" s="14"/>
    </row>
    <row r="33" spans="1:15">
      <c r="A33" s="8" t="s">
        <v>162</v>
      </c>
      <c r="B33" s="9"/>
      <c r="C33" s="8" t="s">
        <v>163</v>
      </c>
      <c r="D33" s="9"/>
      <c r="E33" s="8" t="s">
        <v>164</v>
      </c>
      <c r="F33" s="9"/>
      <c r="G33" s="8" t="s">
        <v>199</v>
      </c>
      <c r="H33" s="9"/>
      <c r="I33" s="8" t="s">
        <v>162</v>
      </c>
      <c r="J33" s="9"/>
      <c r="K33" s="8" t="s">
        <v>328</v>
      </c>
      <c r="L33" s="9"/>
      <c r="M33" s="8" t="s">
        <v>383</v>
      </c>
      <c r="N33" s="40" t="str">
        <f>IF(Template!$AT$1="Français",A33,IF(Template!$AT$1="English",C33,IF(Template!$AT$1="Slovak",E33,IF(Template!$AT$1="Deutsch",G33,IF(Template!$AT$1="Spanish",I33,IF(Template!$AT$1="Portuguese",K33,IF(Template!$AT$1="Polski",M33,)))))))</f>
        <v>Bruit</v>
      </c>
      <c r="O33" s="14"/>
    </row>
    <row r="34" spans="1:15">
      <c r="A34" s="8" t="s">
        <v>26</v>
      </c>
      <c r="B34" s="9"/>
      <c r="C34" s="8" t="s">
        <v>94</v>
      </c>
      <c r="D34" s="9"/>
      <c r="E34" s="8" t="s">
        <v>138</v>
      </c>
      <c r="F34" s="9"/>
      <c r="G34" s="8" t="s">
        <v>200</v>
      </c>
      <c r="H34" s="9"/>
      <c r="I34" s="8" t="s">
        <v>262</v>
      </c>
      <c r="J34" s="9"/>
      <c r="K34" s="8" t="s">
        <v>329</v>
      </c>
      <c r="L34" s="9"/>
      <c r="M34" s="8" t="s">
        <v>384</v>
      </c>
      <c r="N34" s="40" t="str">
        <f>IF(Template!$AT$1="Français",A34,IF(Template!$AT$1="English",C34,IF(Template!$AT$1="Slovak",E34,IF(Template!$AT$1="Deutsch",G34,IF(Template!$AT$1="Spanish",I34,IF(Template!$AT$1="Portuguese",K34,IF(Template!$AT$1="Polski",M34,)))))))</f>
        <v>en secouant</v>
      </c>
      <c r="O34" s="14"/>
    </row>
    <row r="35" spans="1:15">
      <c r="A35" s="8" t="s">
        <v>165</v>
      </c>
      <c r="B35" s="9"/>
      <c r="C35" s="8" t="s">
        <v>166</v>
      </c>
      <c r="D35" s="9"/>
      <c r="E35" s="8" t="s">
        <v>167</v>
      </c>
      <c r="F35" s="9"/>
      <c r="G35" s="8" t="s">
        <v>201</v>
      </c>
      <c r="H35" s="9"/>
      <c r="I35" s="8" t="s">
        <v>263</v>
      </c>
      <c r="J35" s="9"/>
      <c r="K35" s="8" t="s">
        <v>330</v>
      </c>
      <c r="L35" s="9"/>
      <c r="M35" s="8" t="s">
        <v>385</v>
      </c>
      <c r="N35" s="40" t="str">
        <f>IF(Template!$AT$1="Français",A35,IF(Template!$AT$1="English",C35,IF(Template!$AT$1="Slovak",E35,IF(Template!$AT$1="Deutsch",G35,IF(Template!$AT$1="Spanish",I35,IF(Template!$AT$1="Portuguese",K35,IF(Template!$AT$1="Polski",M35,)))))))</f>
        <v>Mesure</v>
      </c>
      <c r="O35" s="14"/>
    </row>
    <row r="36" spans="1:15" ht="89.25">
      <c r="A36" s="18" t="s">
        <v>31</v>
      </c>
      <c r="B36" s="11"/>
      <c r="C36" s="18" t="s">
        <v>95</v>
      </c>
      <c r="D36" s="11"/>
      <c r="E36" s="18" t="s">
        <v>139</v>
      </c>
      <c r="F36" s="11"/>
      <c r="G36" s="18" t="s">
        <v>202</v>
      </c>
      <c r="H36" s="11"/>
      <c r="I36" s="18" t="s">
        <v>264</v>
      </c>
      <c r="J36" s="11"/>
      <c r="K36" s="18" t="s">
        <v>331</v>
      </c>
      <c r="L36" s="11"/>
      <c r="M36" s="18" t="s">
        <v>386</v>
      </c>
      <c r="N36" s="40" t="str">
        <f>IF(Template!$AT$1="Français",A36,IF(Template!$AT$1="English",C36,IF(Template!$AT$1="Slovak",E36,IF(Template!$AT$1="Deutsch",G36,IF(Template!$AT$1="Spanish",I36,IF(Template!$AT$1="Portuguese",K36,IF(Template!$AT$1="Polski",M36,)))))))</f>
        <v>Caractéristique spéciale (CS) : caractéristique (produit où process) liée à la sécurité ou aux règles légales, fonction de la pièce. Aucun écart autorisé.</v>
      </c>
      <c r="O36" s="14"/>
    </row>
    <row r="37" spans="1:15">
      <c r="A37" s="8" t="s">
        <v>62</v>
      </c>
      <c r="B37" s="9"/>
      <c r="C37" s="8" t="s">
        <v>96</v>
      </c>
      <c r="D37" s="9"/>
      <c r="E37" s="8" t="s">
        <v>140</v>
      </c>
      <c r="F37" s="9"/>
      <c r="G37" s="8" t="s">
        <v>203</v>
      </c>
      <c r="H37" s="9"/>
      <c r="I37" s="8" t="s">
        <v>265</v>
      </c>
      <c r="J37" s="9"/>
      <c r="K37" s="8" t="s">
        <v>332</v>
      </c>
      <c r="L37" s="9"/>
      <c r="M37" s="8" t="s">
        <v>388</v>
      </c>
      <c r="N37" s="40" t="str">
        <f>IF(Template!$AT$1="Français",A37,IF(Template!$AT$1="English",C37,IF(Template!$AT$1="Slovak",E37,IF(Template!$AT$1="Deutsch",G37,IF(Template!$AT$1="Spanish",I37,IF(Template!$AT$1="Portuguese",K37,IF(Template!$AT$1="Polski",M37,)))))))</f>
        <v>Révision :</v>
      </c>
      <c r="O37" s="14"/>
    </row>
    <row r="38" spans="1:15">
      <c r="A38" s="8" t="s">
        <v>17</v>
      </c>
      <c r="B38" s="9"/>
      <c r="C38" s="8" t="s">
        <v>97</v>
      </c>
      <c r="D38" s="9"/>
      <c r="E38" s="8" t="s">
        <v>141</v>
      </c>
      <c r="F38" s="9"/>
      <c r="G38" s="8" t="s">
        <v>204</v>
      </c>
      <c r="H38" s="9"/>
      <c r="I38" s="8" t="s">
        <v>266</v>
      </c>
      <c r="J38" s="9"/>
      <c r="K38" s="8" t="s">
        <v>333</v>
      </c>
      <c r="L38" s="9"/>
      <c r="M38" s="8" t="s">
        <v>387</v>
      </c>
      <c r="N38" s="40" t="str">
        <f>IF(Template!$AT$1="Français",A38,IF(Template!$AT$1="English",C38,IF(Template!$AT$1="Slovak",E38,IF(Template!$AT$1="Deutsch",G38,IF(Template!$AT$1="Spanish",I38,IF(Template!$AT$1="Portuguese",K38,IF(Template!$AT$1="Polski",M38,)))))))</f>
        <v>Sujet de révision :</v>
      </c>
      <c r="O38" s="14"/>
    </row>
    <row r="39" spans="1:15">
      <c r="A39" s="8" t="s">
        <v>63</v>
      </c>
      <c r="B39" s="9"/>
      <c r="C39" s="8" t="s">
        <v>98</v>
      </c>
      <c r="D39" s="9"/>
      <c r="E39" s="8" t="s">
        <v>144</v>
      </c>
      <c r="F39" s="9"/>
      <c r="G39" s="8" t="s">
        <v>205</v>
      </c>
      <c r="H39" s="9"/>
      <c r="I39" s="8" t="s">
        <v>267</v>
      </c>
      <c r="J39" s="9"/>
      <c r="K39" s="8" t="s">
        <v>334</v>
      </c>
      <c r="L39" s="9"/>
      <c r="M39" s="8" t="s">
        <v>389</v>
      </c>
      <c r="N39" s="40" t="str">
        <f>IF(Template!$AT$1="Français",A39,IF(Template!$AT$1="English",C39,IF(Template!$AT$1="Slovak",E39,IF(Template!$AT$1="Deutsch",G39,IF(Template!$AT$1="Spanish",I39,IF(Template!$AT$1="Portuguese",K39,IF(Template!$AT$1="Polski",M39,)))))))</f>
        <v>Création de documents :</v>
      </c>
      <c r="O39" s="14"/>
    </row>
    <row r="40" spans="1:15">
      <c r="A40" s="8" t="s">
        <v>59</v>
      </c>
      <c r="B40" s="9"/>
      <c r="C40" s="8" t="s">
        <v>99</v>
      </c>
      <c r="D40" s="9"/>
      <c r="E40" s="8" t="s">
        <v>142</v>
      </c>
      <c r="F40" s="9"/>
      <c r="G40" s="8" t="s">
        <v>206</v>
      </c>
      <c r="H40" s="9"/>
      <c r="I40" s="8" t="s">
        <v>268</v>
      </c>
      <c r="J40" s="9"/>
      <c r="K40" s="8" t="s">
        <v>335</v>
      </c>
      <c r="L40" s="9"/>
      <c r="M40" s="8" t="s">
        <v>390</v>
      </c>
      <c r="N40" s="40" t="str">
        <f>IF(Template!$AT$1="Français",A40,IF(Template!$AT$1="English",C40,IF(Template!$AT$1="Slovak",E40,IF(Template!$AT$1="Deutsch",G40,IF(Template!$AT$1="Spanish",I40,IF(Template!$AT$1="Portuguese",K40,IF(Template!$AT$1="Polski",M40,)))))))</f>
        <v>Créé par :</v>
      </c>
      <c r="O40" s="14"/>
    </row>
    <row r="41" spans="1:15">
      <c r="A41" s="8" t="s">
        <v>64</v>
      </c>
      <c r="B41" s="9"/>
      <c r="C41" s="8" t="s">
        <v>100</v>
      </c>
      <c r="D41" s="9"/>
      <c r="E41" s="8" t="s">
        <v>143</v>
      </c>
      <c r="F41" s="9"/>
      <c r="G41" s="8" t="s">
        <v>207</v>
      </c>
      <c r="H41" s="9"/>
      <c r="I41" s="8" t="s">
        <v>269</v>
      </c>
      <c r="J41" s="9"/>
      <c r="K41" s="8" t="s">
        <v>336</v>
      </c>
      <c r="L41" s="9"/>
      <c r="M41" s="8" t="s">
        <v>391</v>
      </c>
      <c r="N41" s="40" t="str">
        <f>IF(Template!$AT$1="Français",A41,IF(Template!$AT$1="English",C41,IF(Template!$AT$1="Slovak",E41,IF(Template!$AT$1="Deutsch",G41,IF(Template!$AT$1="Spanish",I41,IF(Template!$AT$1="Portuguese",K41,IF(Template!$AT$1="Polski",M41,)))))))</f>
        <v>Validé - Production :</v>
      </c>
      <c r="O41" s="14"/>
    </row>
    <row r="42" spans="1:15">
      <c r="A42" s="8" t="s">
        <v>65</v>
      </c>
      <c r="B42" s="9"/>
      <c r="C42" s="8" t="s">
        <v>101</v>
      </c>
      <c r="D42" s="9"/>
      <c r="E42" s="8" t="s">
        <v>145</v>
      </c>
      <c r="F42" s="9"/>
      <c r="G42" s="8" t="s">
        <v>208</v>
      </c>
      <c r="H42" s="9"/>
      <c r="I42" s="8" t="s">
        <v>270</v>
      </c>
      <c r="J42" s="9"/>
      <c r="K42" s="8" t="s">
        <v>337</v>
      </c>
      <c r="L42" s="9"/>
      <c r="M42" s="8" t="s">
        <v>392</v>
      </c>
      <c r="N42" s="40" t="str">
        <f>IF(Template!$AT$1="Français",A42,IF(Template!$AT$1="English",C42,IF(Template!$AT$1="Slovak",E42,IF(Template!$AT$1="Deutsch",G42,IF(Template!$AT$1="Spanish",I42,IF(Template!$AT$1="Portuguese",K42,IF(Template!$AT$1="Polski",M42,)))))))</f>
        <v>Validé - Qualité :</v>
      </c>
      <c r="O42" s="14"/>
    </row>
    <row r="43" spans="1:15">
      <c r="A43" s="8" t="s">
        <v>291</v>
      </c>
      <c r="B43" s="9"/>
      <c r="C43" s="8" t="s">
        <v>292</v>
      </c>
      <c r="D43" s="9"/>
      <c r="E43" s="8" t="s">
        <v>297</v>
      </c>
      <c r="F43" s="9"/>
      <c r="G43" s="8" t="s">
        <v>298</v>
      </c>
      <c r="H43" s="9"/>
      <c r="I43" s="8" t="s">
        <v>293</v>
      </c>
      <c r="J43" s="9"/>
      <c r="K43" s="8" t="s">
        <v>338</v>
      </c>
      <c r="L43" s="9"/>
      <c r="M43" s="8" t="s">
        <v>393</v>
      </c>
      <c r="N43" s="40" t="str">
        <f>IF(Template!$AT$1="Français",A43,IF(Template!$AT$1="English",C43,IF(Template!$AT$1="Slovak",E43,IF(Template!$AT$1="Deutsch",G43,IF(Template!$AT$1="Spanish",I43,IF(Template!$AT$1="Portuguese",K43,IF(Template!$AT$1="Polski",M43,)))))))</f>
        <v>Validé - HSE :</v>
      </c>
      <c r="O43" s="14"/>
    </row>
    <row r="44" spans="1:15">
      <c r="A44" s="8" t="s">
        <v>60</v>
      </c>
      <c r="B44" s="9"/>
      <c r="C44" s="8" t="s">
        <v>1</v>
      </c>
      <c r="D44" s="9"/>
      <c r="E44" s="8" t="s">
        <v>146</v>
      </c>
      <c r="F44" s="9"/>
      <c r="G44" s="8" t="s">
        <v>209</v>
      </c>
      <c r="H44" s="9"/>
      <c r="I44" s="8" t="s">
        <v>271</v>
      </c>
      <c r="J44" s="9"/>
      <c r="K44" s="8" t="s">
        <v>339</v>
      </c>
      <c r="L44" s="9"/>
      <c r="M44" s="8" t="s">
        <v>339</v>
      </c>
      <c r="N44" s="40" t="str">
        <f>IF(Template!$AT$1="Français",A44,IF(Template!$AT$1="English",C44,IF(Template!$AT$1="Slovak",E44,IF(Template!$AT$1="Deutsch",G44,IF(Template!$AT$1="Spanish",I44,IF(Template!$AT$1="Portuguese",K44,IF(Template!$AT$1="Polski",M44,)))))))</f>
        <v>Date :</v>
      </c>
      <c r="O44" s="14"/>
    </row>
    <row r="45" spans="1:15">
      <c r="A45" s="8" t="s">
        <v>61</v>
      </c>
      <c r="B45" s="9"/>
      <c r="C45" s="8" t="s">
        <v>3</v>
      </c>
      <c r="D45" s="9"/>
      <c r="E45" s="8" t="s">
        <v>147</v>
      </c>
      <c r="F45" s="9"/>
      <c r="G45" s="8" t="s">
        <v>210</v>
      </c>
      <c r="H45" s="9"/>
      <c r="I45" s="8" t="s">
        <v>272</v>
      </c>
      <c r="J45" s="9"/>
      <c r="K45" s="8" t="s">
        <v>340</v>
      </c>
      <c r="L45" s="9"/>
      <c r="M45" s="8" t="s">
        <v>147</v>
      </c>
      <c r="N45" s="40" t="str">
        <f>IF(Template!$AT$1="Français",A45,IF(Template!$AT$1="English",C45,IF(Template!$AT$1="Slovak",E45,IF(Template!$AT$1="Deutsch",G45,IF(Template!$AT$1="Spanish",I45,IF(Template!$AT$1="Portuguese",K45,IF(Template!$AT$1="Polski",M45,)))))))</f>
        <v>Signature :</v>
      </c>
      <c r="O45" s="14"/>
    </row>
    <row r="46" spans="1:15">
      <c r="A46" s="8" t="s">
        <v>66</v>
      </c>
      <c r="B46" s="9"/>
      <c r="C46" s="8" t="s">
        <v>104</v>
      </c>
      <c r="D46" s="9"/>
      <c r="E46" s="8" t="s">
        <v>148</v>
      </c>
      <c r="F46" s="9"/>
      <c r="G46" s="8" t="s">
        <v>211</v>
      </c>
      <c r="H46" s="9"/>
      <c r="I46" s="8" t="s">
        <v>273</v>
      </c>
      <c r="J46" s="9"/>
      <c r="K46" s="8" t="s">
        <v>341</v>
      </c>
      <c r="L46" s="9"/>
      <c r="M46" s="8" t="s">
        <v>394</v>
      </c>
      <c r="N46" s="40" t="str">
        <f>IF(Template!$AT$1="Français",A46,IF(Template!$AT$1="English",C46,IF(Template!$AT$1="Slovak",E46,IF(Template!$AT$1="Deutsch",G46,IF(Template!$AT$1="Spanish",I46,IF(Template!$AT$1="Portuguese",K46,IF(Template!$AT$1="Polski",M46,)))))))</f>
        <v>N° Etape Principale :</v>
      </c>
      <c r="O46" s="14"/>
    </row>
    <row r="47" spans="1:15">
      <c r="A47" s="8" t="s">
        <v>67</v>
      </c>
      <c r="B47" s="9"/>
      <c r="C47" s="8" t="s">
        <v>105</v>
      </c>
      <c r="D47" s="9"/>
      <c r="E47" s="8" t="s">
        <v>105</v>
      </c>
      <c r="F47" s="9"/>
      <c r="G47" s="8" t="s">
        <v>212</v>
      </c>
      <c r="H47" s="9"/>
      <c r="I47" s="8" t="s">
        <v>274</v>
      </c>
      <c r="J47" s="9"/>
      <c r="K47" s="8" t="s">
        <v>342</v>
      </c>
      <c r="L47" s="9"/>
      <c r="M47" s="40" t="s">
        <v>105</v>
      </c>
      <c r="N47" s="40" t="str">
        <f>IF(Template!$AT$1="Français",A47,IF(Template!$AT$1="English",C47,IF(Template!$AT$1="Slovak",E47,IF(Template!$AT$1="Deutsch",G47,IF(Template!$AT$1="Spanish",I47,IF(Template!$AT$1="Portuguese",K47,IF(Template!$AT$1="Polski",M47,)))))))</f>
        <v>CP/CS :</v>
      </c>
      <c r="O47" s="14"/>
    </row>
    <row r="48" spans="1:15" ht="25.5">
      <c r="A48" s="8" t="s">
        <v>27</v>
      </c>
      <c r="B48" s="9"/>
      <c r="C48" s="8" t="s">
        <v>106</v>
      </c>
      <c r="D48" s="9"/>
      <c r="E48" s="8" t="s">
        <v>149</v>
      </c>
      <c r="F48" s="9"/>
      <c r="G48" s="8" t="s">
        <v>213</v>
      </c>
      <c r="H48" s="9"/>
      <c r="I48" s="8" t="s">
        <v>275</v>
      </c>
      <c r="J48" s="9"/>
      <c r="K48" s="8" t="s">
        <v>343</v>
      </c>
      <c r="L48" s="9"/>
      <c r="M48" s="8" t="s">
        <v>395</v>
      </c>
      <c r="N48" s="40" t="str">
        <f>IF(Template!$AT$1="Français",A48,IF(Template!$AT$1="English",C48,IF(Template!$AT$1="Slovak",E48,IF(Template!$AT$1="Deutsch",G48,IF(Template!$AT$1="Spanish",I48,IF(Template!$AT$1="Portuguese",K48,IF(Template!$AT$1="Polski",M48,)))))))</f>
        <v>Description du mode opératoire: avec détails écrit</v>
      </c>
      <c r="O48" s="14"/>
    </row>
    <row r="49" spans="1:15" ht="25.5">
      <c r="A49" s="8" t="s">
        <v>30</v>
      </c>
      <c r="B49" s="9"/>
      <c r="C49" s="8" t="s">
        <v>107</v>
      </c>
      <c r="D49" s="9"/>
      <c r="E49" s="8" t="s">
        <v>150</v>
      </c>
      <c r="F49" s="9"/>
      <c r="G49" s="8" t="s">
        <v>214</v>
      </c>
      <c r="H49" s="9"/>
      <c r="I49" s="8" t="s">
        <v>276</v>
      </c>
      <c r="J49" s="9"/>
      <c r="K49" s="8" t="s">
        <v>344</v>
      </c>
      <c r="L49" s="9"/>
      <c r="M49" s="8" t="s">
        <v>396</v>
      </c>
      <c r="N49" s="40" t="str">
        <f>IF(Template!$AT$1="Français",A49,IF(Template!$AT$1="English",C49,IF(Template!$AT$1="Slovak",E49,IF(Template!$AT$1="Deutsch",G49,IF(Template!$AT$1="Spanish",I49,IF(Template!$AT$1="Portuguese",K49,IF(Template!$AT$1="Polski",M49,)))))))</f>
        <v>Complément du mode opératoire:
avec photos si besoin</v>
      </c>
      <c r="O49" s="14"/>
    </row>
    <row r="50" spans="1:15">
      <c r="A50" s="8" t="s">
        <v>18</v>
      </c>
      <c r="B50" s="9"/>
      <c r="C50" s="8" t="s">
        <v>102</v>
      </c>
      <c r="D50" s="9"/>
      <c r="E50" s="8" t="s">
        <v>151</v>
      </c>
      <c r="F50" s="9"/>
      <c r="G50" s="8" t="s">
        <v>215</v>
      </c>
      <c r="H50" s="9"/>
      <c r="I50" s="8" t="s">
        <v>277</v>
      </c>
      <c r="J50" s="9"/>
      <c r="K50" s="8" t="s">
        <v>345</v>
      </c>
      <c r="L50" s="9"/>
      <c r="M50" s="8" t="s">
        <v>397</v>
      </c>
      <c r="N50" s="40" t="str">
        <f>IF(Template!$AT$1="Français",A50,IF(Template!$AT$1="English",C50,IF(Template!$AT$1="Slovak",E50,IF(Template!$AT$1="Deutsch",G50,IF(Template!$AT$1="Spanish",I50,IF(Template!$AT$1="Portuguese",K50,IF(Template!$AT$1="Polski",M50,)))))))</f>
        <v>Étapes principales</v>
      </c>
      <c r="O50" s="14"/>
    </row>
    <row r="51" spans="1:15">
      <c r="A51" s="8" t="s">
        <v>28</v>
      </c>
      <c r="B51" s="9"/>
      <c r="C51" s="8" t="s">
        <v>108</v>
      </c>
      <c r="D51" s="9"/>
      <c r="E51" s="8" t="s">
        <v>108</v>
      </c>
      <c r="F51" s="9"/>
      <c r="G51" s="8" t="s">
        <v>216</v>
      </c>
      <c r="H51" s="9"/>
      <c r="I51" s="8" t="s">
        <v>28</v>
      </c>
      <c r="J51" s="9"/>
      <c r="K51" s="8" t="s">
        <v>28</v>
      </c>
      <c r="L51" s="9"/>
      <c r="M51" s="8" t="s">
        <v>108</v>
      </c>
      <c r="N51" s="40" t="str">
        <f>IF(Template!$AT$1="Français",A51,IF(Template!$AT$1="English",C51,IF(Template!$AT$1="Slovak",E51,IF(Template!$AT$1="Deutsch",G51,IF(Template!$AT$1="Spanish",I51,IF(Template!$AT$1="Portuguese",K51,IF(Template!$AT$1="Polski",M51,)))))))</f>
        <v>T/C</v>
      </c>
      <c r="O51" s="14"/>
    </row>
    <row r="52" spans="1:15" ht="38.25">
      <c r="A52" s="8" t="s">
        <v>19</v>
      </c>
      <c r="B52" s="9"/>
      <c r="C52" s="8" t="s">
        <v>103</v>
      </c>
      <c r="D52" s="9"/>
      <c r="E52" s="8" t="s">
        <v>152</v>
      </c>
      <c r="F52" s="9"/>
      <c r="G52" s="8" t="s">
        <v>217</v>
      </c>
      <c r="H52" s="9"/>
      <c r="I52" s="8" t="s">
        <v>278</v>
      </c>
      <c r="J52" s="9"/>
      <c r="K52" s="8" t="s">
        <v>346</v>
      </c>
      <c r="L52" s="9"/>
      <c r="M52" s="8" t="s">
        <v>398</v>
      </c>
      <c r="N52" s="40" t="str">
        <f>IF(Template!$AT$1="Français",A52,IF(Template!$AT$1="English",C52,IF(Template!$AT$1="Slovak",E52,IF(Template!$AT$1="Deutsch",G52,IF(Template!$AT$1="Spanish",I52,IF(Template!$AT$1="Portuguese",K52,IF(Template!$AT$1="Polski",M52,)))))))</f>
        <v>Points clés (Comment ?)</v>
      </c>
      <c r="O52" s="14"/>
    </row>
    <row r="53" spans="1:15" ht="25.5">
      <c r="A53" s="8" t="s">
        <v>29</v>
      </c>
      <c r="B53" s="9"/>
      <c r="C53" s="8" t="s">
        <v>109</v>
      </c>
      <c r="D53" s="9"/>
      <c r="E53" s="8" t="s">
        <v>153</v>
      </c>
      <c r="F53" s="9"/>
      <c r="G53" s="8" t="s">
        <v>218</v>
      </c>
      <c r="H53" s="9"/>
      <c r="I53" s="8" t="s">
        <v>279</v>
      </c>
      <c r="J53" s="9"/>
      <c r="K53" s="8" t="s">
        <v>347</v>
      </c>
      <c r="L53" s="9"/>
      <c r="M53" s="8" t="s">
        <v>399</v>
      </c>
      <c r="N53" s="40" t="str">
        <f>IF(Template!$AT$1="Français",A53,IF(Template!$AT$1="English",C53,IF(Template!$AT$1="Slovak",E53,IF(Template!$AT$1="Deutsch",G53,IF(Template!$AT$1="Spanish",I53,IF(Template!$AT$1="Portuguese",K53,IF(Template!$AT$1="Polski",M53,)))))))</f>
        <v>Raison du point clé (Pourquoi ?) : en photos ou schéma et OK/NOK si possible</v>
      </c>
      <c r="O53" s="14"/>
    </row>
    <row r="54" spans="1:15">
      <c r="A54" s="8"/>
      <c r="B54" s="9"/>
      <c r="C54" s="8"/>
      <c r="D54" s="9"/>
      <c r="E54" s="8"/>
      <c r="F54" s="9"/>
      <c r="G54" s="8"/>
      <c r="H54" s="9"/>
      <c r="I54" s="8"/>
      <c r="J54" s="9"/>
      <c r="K54" s="8"/>
      <c r="L54" s="9"/>
      <c r="M54" s="8"/>
      <c r="N54" s="40">
        <f>IF(Template!$AT$1="Français",A54,IF(Template!$AT$1="English",C54,IF(Template!$AT$1="Slovak",E54,IF(Template!$AT$1="Deutsch",G54,IF(Template!$AT$1="Spanish",I54,IF(Template!$AT$1="Portuguese",K54,IF(Template!$AT$1="Polski",M54,)))))))</f>
        <v>0</v>
      </c>
      <c r="O54" s="14"/>
    </row>
    <row r="55" spans="1:15" ht="19.5" customHeight="1">
      <c r="A55" s="8"/>
      <c r="B55" s="9"/>
      <c r="C55" s="8"/>
      <c r="D55" s="9"/>
      <c r="E55" s="8"/>
      <c r="F55" s="9"/>
      <c r="G55" s="8"/>
      <c r="H55" s="9"/>
      <c r="I55" s="8"/>
      <c r="J55" s="9"/>
      <c r="K55" s="8"/>
      <c r="L55" s="9"/>
      <c r="M55" s="8"/>
      <c r="N55" s="40">
        <f>IF(Template!$AT$1="Français",A55,IF(Template!$AT$1="English",C55,IF(Template!$AT$1="Slovak",E55,IF(Template!$AT$1="Deutsch",G55,IF(Template!$AT$1="Spanish",I55,IF(Template!$AT$1="Portuguese",K55,IF(Template!$AT$1="Polski",M55,)))))))</f>
        <v>0</v>
      </c>
      <c r="O55" s="14"/>
    </row>
    <row r="56" spans="1:15">
      <c r="A56" s="25"/>
      <c r="B56" s="25"/>
      <c r="C56" s="25"/>
      <c r="D56" s="25"/>
      <c r="E56" s="42" t="s">
        <v>43</v>
      </c>
      <c r="F56" s="41"/>
      <c r="G56" s="25"/>
      <c r="H56" s="41"/>
      <c r="I56" s="25"/>
      <c r="J56" s="41"/>
      <c r="K56" s="25"/>
      <c r="L56" s="41"/>
      <c r="M56" s="25"/>
      <c r="N56" s="40">
        <f>IF(Template!$AT$1="Français",A56,IF(Template!$AT$1="English",C56,IF(Template!$AT$1="Slovak",E56,IF(Template!$AT$1="Deutsch",G56,IF(Template!$AT$1="Spanish",I56,IF(Template!$AT$1="Portuguese",K56,IF(Template!$AT$1="Polski",M56,)))))))</f>
        <v>0</v>
      </c>
    </row>
    <row r="57" spans="1:15" ht="19.5" customHeight="1">
      <c r="A57" s="8" t="s">
        <v>44</v>
      </c>
      <c r="B57" s="9"/>
      <c r="C57" s="8" t="s">
        <v>43</v>
      </c>
      <c r="D57" s="9"/>
      <c r="E57" s="8" t="s">
        <v>154</v>
      </c>
      <c r="F57" s="9"/>
      <c r="G57" s="8" t="s">
        <v>219</v>
      </c>
      <c r="H57" s="9"/>
      <c r="I57" s="8" t="s">
        <v>280</v>
      </c>
      <c r="J57" s="9"/>
      <c r="K57" s="8" t="s">
        <v>348</v>
      </c>
      <c r="L57" s="9"/>
      <c r="M57" s="8" t="s">
        <v>400</v>
      </c>
      <c r="N57" s="40" t="str">
        <f>IF(Template!$AT$1="Français",A57,IF(Template!$AT$1="English",C57,IF(Template!$AT$1="Slovak",E57,IF(Template!$AT$1="Deutsch",G57,IF(Template!$AT$1="Spanish",I57,IF(Template!$AT$1="Portuguese",K57,IF(Template!$AT$1="Polski",M57,)))))))</f>
        <v>Historique des révisions</v>
      </c>
      <c r="O57" s="15"/>
    </row>
    <row r="58" spans="1:15" ht="19.5" customHeight="1">
      <c r="A58" s="8" t="s">
        <v>2</v>
      </c>
      <c r="B58" s="9"/>
      <c r="C58" s="8" t="s">
        <v>2</v>
      </c>
      <c r="D58" s="9"/>
      <c r="E58" s="8" t="s">
        <v>146</v>
      </c>
      <c r="F58" s="9"/>
      <c r="G58" s="8" t="s">
        <v>220</v>
      </c>
      <c r="H58" s="9"/>
      <c r="I58" s="8" t="s">
        <v>281</v>
      </c>
      <c r="J58" s="9"/>
      <c r="K58" s="8" t="s">
        <v>349</v>
      </c>
      <c r="L58" s="9"/>
      <c r="M58" s="8" t="s">
        <v>349</v>
      </c>
      <c r="N58" s="40" t="str">
        <f>IF(Template!$AT$1="Français",A58,IF(Template!$AT$1="English",C58,IF(Template!$AT$1="Slovak",E58,IF(Template!$AT$1="Deutsch",G58,IF(Template!$AT$1="Spanish",I58,IF(Template!$AT$1="Portuguese",K58,IF(Template!$AT$1="Polski",M58,)))))))</f>
        <v>Date</v>
      </c>
      <c r="O58" s="15"/>
    </row>
    <row r="59" spans="1:15">
      <c r="A59" s="8" t="s">
        <v>45</v>
      </c>
      <c r="B59" s="9"/>
      <c r="C59" s="8" t="s">
        <v>46</v>
      </c>
      <c r="D59" s="9"/>
      <c r="E59" s="8" t="s">
        <v>155</v>
      </c>
      <c r="F59" s="9"/>
      <c r="G59" s="8" t="s">
        <v>221</v>
      </c>
      <c r="H59" s="9"/>
      <c r="I59" s="8" t="s">
        <v>282</v>
      </c>
      <c r="J59" s="9"/>
      <c r="K59" s="8" t="s">
        <v>45</v>
      </c>
      <c r="L59" s="9"/>
      <c r="M59" s="8" t="s">
        <v>401</v>
      </c>
      <c r="N59" s="40" t="str">
        <f>IF(Template!$AT$1="Français",A59,IF(Template!$AT$1="English",C59,IF(Template!$AT$1="Slovak",E59,IF(Template!$AT$1="Deutsch",G59,IF(Template!$AT$1="Spanish",I59,IF(Template!$AT$1="Portuguese",K59,IF(Template!$AT$1="Polski",M59,)))))))</f>
        <v>Indice</v>
      </c>
      <c r="O59" s="15"/>
    </row>
    <row r="60" spans="1:15">
      <c r="A60" s="8" t="s">
        <v>47</v>
      </c>
      <c r="B60" s="9"/>
      <c r="C60" s="8" t="s">
        <v>48</v>
      </c>
      <c r="D60" s="9"/>
      <c r="E60" s="8" t="s">
        <v>156</v>
      </c>
      <c r="F60" s="9"/>
      <c r="G60" s="8" t="s">
        <v>222</v>
      </c>
      <c r="H60" s="9"/>
      <c r="I60" s="8" t="s">
        <v>283</v>
      </c>
      <c r="J60" s="9"/>
      <c r="K60" s="8" t="s">
        <v>350</v>
      </c>
      <c r="L60" s="9"/>
      <c r="M60" s="8" t="s">
        <v>403</v>
      </c>
      <c r="N60" s="40" t="str">
        <f>IF(Template!$AT$1="Français",A60,IF(Template!$AT$1="English",C60,IF(Template!$AT$1="Slovak",E60,IF(Template!$AT$1="Deutsch",G60,IF(Template!$AT$1="Spanish",I60,IF(Template!$AT$1="Portuguese",K60,IF(Template!$AT$1="Polski",M60,)))))))</f>
        <v>Pilote de la modification</v>
      </c>
      <c r="O60" s="15"/>
    </row>
    <row r="61" spans="1:15">
      <c r="A61" s="16" t="s">
        <v>49</v>
      </c>
      <c r="B61" s="9"/>
      <c r="C61" s="8" t="s">
        <v>50</v>
      </c>
      <c r="D61" s="9"/>
      <c r="E61" s="16" t="s">
        <v>157</v>
      </c>
      <c r="F61" s="9"/>
      <c r="G61" s="16" t="s">
        <v>223</v>
      </c>
      <c r="H61" s="9"/>
      <c r="I61" s="16" t="s">
        <v>284</v>
      </c>
      <c r="J61" s="9"/>
      <c r="K61" s="16" t="s">
        <v>351</v>
      </c>
      <c r="L61" s="9"/>
      <c r="M61" s="16" t="s">
        <v>402</v>
      </c>
      <c r="N61" s="40" t="str">
        <f>IF(Template!$AT$1="Français",A61,IF(Template!$AT$1="English",C61,IF(Template!$AT$1="Slovak",E61,IF(Template!$AT$1="Deutsch",G61,IF(Template!$AT$1="Spanish",I61,IF(Template!$AT$1="Portuguese",K61,IF(Template!$AT$1="Polski",M61,)))))))</f>
        <v>Description de la modification</v>
      </c>
      <c r="O61" s="15"/>
    </row>
    <row r="62" spans="1:15" ht="38.25">
      <c r="A62" s="16" t="s">
        <v>229</v>
      </c>
      <c r="B62" s="9"/>
      <c r="C62" s="16" t="s">
        <v>230</v>
      </c>
      <c r="D62" s="9"/>
      <c r="E62" s="16" t="s">
        <v>232</v>
      </c>
      <c r="F62" s="9"/>
      <c r="G62" s="16" t="s">
        <v>231</v>
      </c>
      <c r="H62" s="9"/>
      <c r="I62" s="16" t="s">
        <v>285</v>
      </c>
      <c r="J62" s="9"/>
      <c r="K62" s="16" t="s">
        <v>352</v>
      </c>
      <c r="L62" s="9"/>
      <c r="M62" s="16" t="s">
        <v>405</v>
      </c>
      <c r="N62" s="40" t="str">
        <f>IF(Template!$AT$1="Français",A62,IF(Template!$AT$1="English",C62,IF(Template!$AT$1="Slovak",E62,IF(Template!$AT$1="Deutsch",G62,IF(Template!$AT$1="Spanish",I62,IF(Template!$AT$1="Portuguese",K62,IF(Template!$AT$1="Polski",M62,)))))))</f>
        <v>Ajouter une page au SOS</v>
      </c>
      <c r="O62" s="15"/>
    </row>
    <row r="63" spans="1:15">
      <c r="A63" s="16"/>
      <c r="B63" s="9"/>
      <c r="C63" s="16"/>
      <c r="D63" s="9"/>
      <c r="E63" s="16"/>
      <c r="F63" s="9"/>
      <c r="G63" s="16"/>
      <c r="H63" s="9"/>
      <c r="I63" s="16"/>
      <c r="J63" s="9"/>
      <c r="K63" s="16"/>
      <c r="L63" s="9"/>
      <c r="M63" s="16"/>
      <c r="N63" s="40"/>
      <c r="O63" s="15"/>
    </row>
    <row r="64" spans="1:15">
      <c r="A64" s="16"/>
      <c r="B64" s="9"/>
      <c r="C64" s="16"/>
      <c r="D64" s="9"/>
      <c r="E64" s="16"/>
      <c r="F64" s="9"/>
      <c r="G64" s="16"/>
      <c r="H64" s="9"/>
      <c r="I64" s="16"/>
      <c r="J64" s="9"/>
      <c r="K64" s="16"/>
      <c r="L64" s="9"/>
      <c r="M64" s="16"/>
      <c r="N64" s="40"/>
      <c r="O64" s="15"/>
    </row>
    <row r="65" spans="1:15">
      <c r="A65" s="16"/>
      <c r="B65" s="9"/>
      <c r="C65" s="16"/>
      <c r="D65" s="9"/>
      <c r="E65" s="16"/>
      <c r="F65" s="9"/>
      <c r="G65" s="16"/>
      <c r="H65" s="9"/>
      <c r="I65" s="16"/>
      <c r="J65" s="9"/>
      <c r="K65" s="16"/>
      <c r="L65" s="9"/>
      <c r="M65" s="16"/>
      <c r="N65" s="8"/>
      <c r="O65" s="15"/>
    </row>
    <row r="66" spans="1:15">
      <c r="A66" s="16"/>
      <c r="B66" s="9"/>
      <c r="C66" s="16"/>
      <c r="D66" s="9"/>
      <c r="E66" s="16"/>
      <c r="F66" s="9"/>
      <c r="G66" s="16"/>
      <c r="H66" s="9"/>
      <c r="I66" s="16"/>
      <c r="J66" s="9"/>
      <c r="K66" s="16"/>
      <c r="L66" s="9"/>
      <c r="M66" s="16"/>
      <c r="N66" s="8"/>
      <c r="O66" s="15"/>
    </row>
    <row r="67" spans="1:15">
      <c r="A67" s="16"/>
      <c r="B67" s="9"/>
      <c r="C67" s="16"/>
      <c r="D67" s="9"/>
      <c r="E67" s="16"/>
      <c r="F67" s="9"/>
      <c r="G67" s="16"/>
      <c r="H67" s="9"/>
      <c r="I67" s="16"/>
      <c r="J67" s="9"/>
      <c r="K67" s="16"/>
      <c r="L67" s="9"/>
      <c r="M67" s="16"/>
      <c r="N67" s="8"/>
      <c r="O67" s="15"/>
    </row>
    <row r="68" spans="1:15">
      <c r="A68" s="17"/>
      <c r="B68" s="11"/>
      <c r="C68" s="17"/>
      <c r="D68" s="11"/>
      <c r="E68" s="17"/>
      <c r="F68" s="11"/>
      <c r="G68" s="17"/>
      <c r="H68" s="11"/>
      <c r="I68" s="17"/>
      <c r="J68" s="11"/>
      <c r="K68" s="17"/>
      <c r="L68" s="11"/>
      <c r="M68" s="17"/>
      <c r="N68" s="18"/>
      <c r="O68" s="15"/>
    </row>
    <row r="69" spans="1:15">
      <c r="A69" s="16"/>
      <c r="B69" s="9"/>
      <c r="C69" s="16"/>
      <c r="D69" s="9"/>
      <c r="E69" s="16"/>
      <c r="F69" s="9"/>
      <c r="G69" s="16"/>
      <c r="H69" s="9"/>
      <c r="I69" s="16"/>
      <c r="J69" s="9"/>
      <c r="K69" s="16"/>
      <c r="L69" s="9"/>
      <c r="M69" s="16"/>
      <c r="N69" s="8"/>
      <c r="O69" s="15"/>
    </row>
    <row r="70" spans="1:15">
      <c r="A70" s="16"/>
      <c r="B70" s="9"/>
      <c r="C70" s="16"/>
      <c r="D70" s="9"/>
      <c r="E70" s="16"/>
      <c r="F70" s="9"/>
      <c r="G70" s="16"/>
      <c r="H70" s="9"/>
      <c r="I70" s="16"/>
      <c r="J70" s="9"/>
      <c r="K70" s="16"/>
      <c r="L70" s="9"/>
      <c r="M70" s="16"/>
      <c r="N70" s="8"/>
      <c r="O70" s="15"/>
    </row>
    <row r="71" spans="1:15">
      <c r="A71" s="16"/>
      <c r="B71" s="9"/>
      <c r="C71" s="16"/>
      <c r="D71" s="9"/>
      <c r="E71" s="16"/>
      <c r="F71" s="9"/>
      <c r="G71" s="16"/>
      <c r="H71" s="9"/>
      <c r="I71" s="16"/>
      <c r="J71" s="9"/>
      <c r="K71" s="16"/>
      <c r="L71" s="9"/>
      <c r="M71" s="16"/>
      <c r="N71" s="8"/>
      <c r="O71" s="15"/>
    </row>
    <row r="72" spans="1:15">
      <c r="A72" s="16"/>
      <c r="B72" s="9"/>
      <c r="C72" s="16"/>
      <c r="D72" s="9"/>
      <c r="E72" s="16"/>
      <c r="F72" s="9"/>
      <c r="G72" s="16"/>
      <c r="H72" s="9"/>
      <c r="I72" s="16"/>
      <c r="J72" s="9"/>
      <c r="K72" s="16"/>
      <c r="L72" s="9"/>
      <c r="M72" s="16"/>
      <c r="N72" s="8"/>
      <c r="O72" s="15"/>
    </row>
    <row r="73" spans="1:15">
      <c r="A73" s="16"/>
      <c r="B73" s="9"/>
      <c r="C73" s="16"/>
      <c r="D73" s="9"/>
      <c r="E73" s="16"/>
      <c r="F73" s="9"/>
      <c r="G73" s="16"/>
      <c r="H73" s="9"/>
      <c r="I73" s="16"/>
      <c r="J73" s="9"/>
      <c r="K73" s="16"/>
      <c r="L73" s="9"/>
      <c r="M73" s="16"/>
      <c r="N73" s="8"/>
      <c r="O73" s="15"/>
    </row>
    <row r="74" spans="1:15">
      <c r="A74" s="16"/>
      <c r="B74" s="9"/>
      <c r="C74" s="16"/>
      <c r="D74" s="9"/>
      <c r="E74" s="16"/>
      <c r="F74" s="9"/>
      <c r="G74" s="16"/>
      <c r="H74" s="9"/>
      <c r="I74" s="16"/>
      <c r="J74" s="9"/>
      <c r="K74" s="16"/>
      <c r="L74" s="9"/>
      <c r="M74" s="16"/>
      <c r="N74" s="8"/>
      <c r="O74" s="15"/>
    </row>
    <row r="75" spans="1:15">
      <c r="A75" s="16"/>
      <c r="B75" s="9"/>
      <c r="C75" s="16"/>
      <c r="D75" s="9"/>
      <c r="E75" s="16"/>
      <c r="F75" s="9"/>
      <c r="G75" s="16"/>
      <c r="H75" s="9"/>
      <c r="I75" s="16"/>
      <c r="J75" s="9"/>
      <c r="K75" s="16"/>
      <c r="L75" s="9"/>
      <c r="M75" s="16"/>
      <c r="N75" s="8"/>
      <c r="O75" s="15"/>
    </row>
    <row r="76" spans="1:15">
      <c r="A76" s="16"/>
      <c r="B76" s="9"/>
      <c r="C76" s="16"/>
      <c r="D76" s="9"/>
      <c r="E76" s="16"/>
      <c r="F76" s="9"/>
      <c r="G76" s="16"/>
      <c r="H76" s="9"/>
      <c r="I76" s="16"/>
      <c r="J76" s="9"/>
      <c r="K76" s="16"/>
      <c r="L76" s="9"/>
      <c r="M76" s="16"/>
      <c r="N76" s="8"/>
      <c r="O76" s="15"/>
    </row>
    <row r="77" spans="1:15">
      <c r="A77" s="16"/>
      <c r="B77" s="9"/>
      <c r="C77" s="16"/>
      <c r="D77" s="9"/>
      <c r="E77" s="16"/>
      <c r="F77" s="9"/>
      <c r="G77" s="16"/>
      <c r="H77" s="9"/>
      <c r="I77" s="16"/>
      <c r="J77" s="9"/>
      <c r="K77" s="16"/>
      <c r="L77" s="9"/>
      <c r="M77" s="16"/>
      <c r="N77" s="8"/>
      <c r="O77" s="15"/>
    </row>
    <row r="78" spans="1:15">
      <c r="A78" s="16"/>
      <c r="B78" s="9"/>
      <c r="C78" s="16"/>
      <c r="D78" s="9"/>
      <c r="E78" s="19"/>
      <c r="F78" s="9"/>
      <c r="G78" s="19"/>
      <c r="H78" s="9"/>
      <c r="I78" s="19"/>
      <c r="J78" s="9"/>
      <c r="K78" s="19"/>
      <c r="L78" s="9"/>
      <c r="M78" s="19"/>
      <c r="N78" s="8"/>
    </row>
    <row r="79" spans="1:15">
      <c r="A79" s="16"/>
      <c r="B79" s="9"/>
      <c r="C79" s="16"/>
      <c r="D79" s="9"/>
      <c r="E79" s="19"/>
      <c r="F79" s="9"/>
      <c r="G79" s="19"/>
      <c r="H79" s="9"/>
      <c r="I79" s="19"/>
      <c r="J79" s="9"/>
      <c r="K79" s="19"/>
      <c r="L79" s="9"/>
      <c r="M79" s="19"/>
      <c r="N79" s="8"/>
    </row>
    <row r="80" spans="1:15">
      <c r="A80" s="16"/>
      <c r="B80" s="9"/>
      <c r="C80" s="16"/>
      <c r="D80" s="9"/>
      <c r="E80" s="19"/>
      <c r="F80" s="9"/>
      <c r="G80" s="19"/>
      <c r="H80" s="9"/>
      <c r="I80" s="19"/>
      <c r="J80" s="9"/>
      <c r="K80" s="19"/>
      <c r="L80" s="9"/>
      <c r="M80" s="19"/>
      <c r="N80" s="8"/>
    </row>
    <row r="81" spans="1:14">
      <c r="A81" s="16"/>
      <c r="B81" s="9"/>
      <c r="C81" s="16"/>
      <c r="D81" s="9"/>
      <c r="E81" s="19"/>
      <c r="F81" s="9"/>
      <c r="G81" s="19"/>
      <c r="H81" s="9"/>
      <c r="I81" s="19"/>
      <c r="J81" s="9"/>
      <c r="K81" s="19"/>
      <c r="L81" s="9"/>
      <c r="M81" s="19"/>
      <c r="N81" s="8"/>
    </row>
    <row r="82" spans="1:14">
      <c r="A82" s="16"/>
      <c r="B82" s="9"/>
      <c r="C82" s="16"/>
      <c r="D82" s="9"/>
      <c r="E82" s="19"/>
      <c r="F82" s="9"/>
      <c r="G82" s="19"/>
      <c r="H82" s="9"/>
      <c r="I82" s="19"/>
      <c r="J82" s="9"/>
      <c r="K82" s="19"/>
      <c r="L82" s="9"/>
      <c r="M82" s="19"/>
      <c r="N82" s="8"/>
    </row>
    <row r="83" spans="1:14">
      <c r="A83" s="16"/>
      <c r="B83" s="9"/>
      <c r="C83" s="16"/>
      <c r="D83" s="9"/>
      <c r="E83" s="19"/>
      <c r="F83" s="9"/>
      <c r="G83" s="19"/>
      <c r="H83" s="9"/>
      <c r="I83" s="19"/>
      <c r="J83" s="9"/>
      <c r="K83" s="19"/>
      <c r="L83" s="9"/>
      <c r="M83" s="19"/>
      <c r="N83" s="8"/>
    </row>
    <row r="84" spans="1:14">
      <c r="A84" s="16"/>
      <c r="B84" s="9"/>
      <c r="C84" s="16"/>
      <c r="D84" s="9"/>
      <c r="E84" s="19"/>
      <c r="F84" s="9"/>
      <c r="G84" s="19"/>
      <c r="H84" s="9"/>
      <c r="I84" s="19"/>
      <c r="J84" s="9"/>
      <c r="K84" s="19"/>
      <c r="L84" s="9"/>
      <c r="M84" s="19"/>
      <c r="N84" s="8"/>
    </row>
    <row r="85" spans="1:14">
      <c r="A85" s="16"/>
      <c r="B85" s="9"/>
      <c r="C85" s="16"/>
      <c r="D85" s="9"/>
      <c r="E85" s="19"/>
      <c r="F85" s="9"/>
      <c r="G85" s="19"/>
      <c r="H85" s="9"/>
      <c r="I85" s="19"/>
      <c r="J85" s="9"/>
      <c r="K85" s="19"/>
      <c r="L85" s="9"/>
      <c r="M85" s="19"/>
      <c r="N85" s="8"/>
    </row>
    <row r="86" spans="1:14">
      <c r="A86" s="16"/>
      <c r="B86" s="9"/>
      <c r="C86" s="16"/>
      <c r="D86" s="9"/>
      <c r="E86" s="19"/>
      <c r="F86" s="9"/>
      <c r="G86" s="19"/>
      <c r="H86" s="9"/>
      <c r="I86" s="19"/>
      <c r="J86" s="9"/>
      <c r="K86" s="19"/>
      <c r="L86" s="9"/>
      <c r="M86" s="19"/>
      <c r="N86" s="8"/>
    </row>
    <row r="87" spans="1:14">
      <c r="A87" s="16"/>
      <c r="B87" s="9"/>
      <c r="C87" s="16"/>
      <c r="D87" s="9"/>
      <c r="E87" s="19"/>
      <c r="F87" s="9"/>
      <c r="G87" s="19"/>
      <c r="H87" s="9"/>
      <c r="I87" s="19"/>
      <c r="J87" s="9"/>
      <c r="K87" s="19"/>
      <c r="L87" s="9"/>
      <c r="M87" s="19"/>
      <c r="N87" s="8"/>
    </row>
    <row r="88" spans="1:14">
      <c r="A88" s="16"/>
      <c r="B88" s="9"/>
      <c r="C88" s="16"/>
      <c r="D88" s="9"/>
      <c r="E88" s="19"/>
      <c r="F88" s="9"/>
      <c r="G88" s="19"/>
      <c r="H88" s="9"/>
      <c r="I88" s="19"/>
      <c r="J88" s="9"/>
      <c r="K88" s="19"/>
      <c r="L88" s="9"/>
      <c r="M88" s="19"/>
      <c r="N88" s="8"/>
    </row>
    <row r="89" spans="1:14">
      <c r="A89" s="16"/>
      <c r="B89" s="9"/>
      <c r="C89" s="16"/>
      <c r="D89" s="9"/>
      <c r="E89" s="19"/>
      <c r="F89" s="9"/>
      <c r="G89" s="19"/>
      <c r="H89" s="9"/>
      <c r="I89" s="19"/>
      <c r="J89" s="9"/>
      <c r="K89" s="19"/>
      <c r="L89" s="9"/>
      <c r="M89" s="19"/>
      <c r="N89" s="8"/>
    </row>
    <row r="90" spans="1:14">
      <c r="A90" s="16"/>
      <c r="B90" s="9"/>
      <c r="C90" s="16"/>
      <c r="D90" s="9"/>
      <c r="E90" s="19"/>
      <c r="F90" s="9"/>
      <c r="G90" s="19"/>
      <c r="H90" s="9"/>
      <c r="I90" s="19"/>
      <c r="J90" s="9"/>
      <c r="K90" s="19"/>
      <c r="L90" s="9"/>
      <c r="M90" s="19"/>
      <c r="N90" s="8"/>
    </row>
    <row r="91" spans="1:14">
      <c r="A91" s="16"/>
      <c r="B91" s="9"/>
      <c r="C91" s="16"/>
      <c r="D91" s="9"/>
      <c r="E91" s="19"/>
      <c r="F91" s="9"/>
      <c r="G91" s="19"/>
      <c r="H91" s="9"/>
      <c r="I91" s="19"/>
      <c r="J91" s="9"/>
      <c r="K91" s="19"/>
      <c r="L91" s="9"/>
      <c r="M91" s="19"/>
      <c r="N91" s="8"/>
    </row>
    <row r="92" spans="1:14" ht="54" customHeight="1">
      <c r="A92" s="19"/>
      <c r="B92" s="9"/>
      <c r="C92" s="16"/>
      <c r="D92" s="9"/>
      <c r="E92" s="19"/>
      <c r="F92" s="9"/>
      <c r="G92" s="19"/>
      <c r="H92" s="9"/>
      <c r="I92" s="19"/>
      <c r="J92" s="9"/>
      <c r="K92" s="19"/>
      <c r="L92" s="9"/>
      <c r="M92" s="19"/>
      <c r="N92" s="8"/>
    </row>
    <row r="93" spans="1:14">
      <c r="A93" s="19"/>
      <c r="B93" s="9"/>
      <c r="C93" s="16"/>
      <c r="D93" s="9"/>
      <c r="E93" s="19"/>
      <c r="F93" s="9"/>
      <c r="G93" s="19"/>
      <c r="H93" s="9"/>
      <c r="I93" s="19"/>
      <c r="J93" s="9"/>
      <c r="K93" s="19"/>
      <c r="L93" s="9"/>
      <c r="M93" s="19"/>
      <c r="N93" s="8"/>
    </row>
    <row r="94" spans="1:1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</row>
    <row r="95" spans="1:14">
      <c r="A95" s="19"/>
      <c r="B95" s="9"/>
      <c r="C95" s="19"/>
      <c r="D95" s="9"/>
      <c r="E95" s="19"/>
      <c r="F95" s="9"/>
      <c r="G95" s="19"/>
      <c r="H95" s="9"/>
      <c r="I95" s="19"/>
      <c r="J95" s="9"/>
      <c r="K95" s="19"/>
      <c r="L95" s="9"/>
      <c r="M95" s="19"/>
      <c r="N95" s="8"/>
    </row>
    <row r="96" spans="1:14">
      <c r="A96" s="19"/>
      <c r="B96" s="9"/>
      <c r="C96" s="19"/>
      <c r="D96" s="9"/>
      <c r="E96" s="19"/>
      <c r="F96" s="9"/>
      <c r="G96" s="19"/>
      <c r="H96" s="9"/>
      <c r="I96" s="19"/>
      <c r="J96" s="9"/>
      <c r="K96" s="19"/>
      <c r="L96" s="9"/>
      <c r="M96" s="19"/>
      <c r="N96" s="8"/>
    </row>
    <row r="97" spans="1:14">
      <c r="A97" s="19"/>
      <c r="B97" s="9"/>
      <c r="C97" s="19"/>
      <c r="D97" s="9"/>
      <c r="E97" s="19"/>
      <c r="F97" s="9"/>
      <c r="G97" s="19"/>
      <c r="H97" s="9"/>
      <c r="I97" s="19"/>
      <c r="J97" s="9"/>
      <c r="K97" s="19"/>
      <c r="L97" s="9"/>
      <c r="M97" s="19"/>
      <c r="N97" s="8"/>
    </row>
    <row r="98" spans="1:14">
      <c r="A98" s="19"/>
      <c r="B98" s="9"/>
      <c r="C98" s="19"/>
      <c r="D98" s="9"/>
      <c r="E98" s="19"/>
      <c r="F98" s="9"/>
      <c r="G98" s="19"/>
      <c r="H98" s="9"/>
      <c r="I98" s="19"/>
      <c r="J98" s="9"/>
      <c r="K98" s="19"/>
      <c r="L98" s="9"/>
      <c r="M98" s="19"/>
      <c r="N98" s="8"/>
    </row>
    <row r="99" spans="1:14">
      <c r="A99" s="19"/>
      <c r="B99" s="9"/>
      <c r="C99" s="19"/>
      <c r="D99" s="9"/>
      <c r="E99" s="19"/>
      <c r="F99" s="9"/>
      <c r="G99" s="19"/>
      <c r="H99" s="9"/>
      <c r="I99" s="19"/>
      <c r="J99" s="9"/>
      <c r="K99" s="19"/>
      <c r="L99" s="9"/>
      <c r="M99" s="19"/>
      <c r="N99" s="8"/>
    </row>
    <row r="100" spans="1:14">
      <c r="A100" s="19"/>
      <c r="B100" s="9"/>
      <c r="C100" s="19"/>
      <c r="D100" s="9"/>
      <c r="E100" s="19"/>
      <c r="F100" s="9"/>
      <c r="G100" s="19"/>
      <c r="H100" s="9"/>
      <c r="I100" s="19"/>
      <c r="J100" s="9"/>
      <c r="K100" s="19"/>
      <c r="L100" s="9"/>
      <c r="M100" s="19"/>
      <c r="N100" s="8"/>
    </row>
    <row r="101" spans="1:14">
      <c r="A101" s="19"/>
      <c r="B101" s="9"/>
      <c r="C101" s="19"/>
      <c r="D101" s="9"/>
      <c r="E101" s="19"/>
      <c r="F101" s="9"/>
      <c r="G101" s="19"/>
      <c r="H101" s="9"/>
      <c r="I101" s="19"/>
      <c r="J101" s="9"/>
      <c r="K101" s="19"/>
      <c r="L101" s="9"/>
      <c r="M101" s="19"/>
      <c r="N101" s="8"/>
    </row>
    <row r="102" spans="1:14">
      <c r="A102" s="19"/>
      <c r="B102" s="9"/>
      <c r="C102" s="19"/>
      <c r="D102" s="9"/>
      <c r="E102" s="19"/>
      <c r="F102" s="9"/>
      <c r="G102" s="19"/>
      <c r="H102" s="9"/>
      <c r="I102" s="19"/>
      <c r="J102" s="9"/>
      <c r="K102" s="19"/>
      <c r="L102" s="9"/>
      <c r="M102" s="19"/>
      <c r="N102" s="8"/>
    </row>
    <row r="103" spans="1:14">
      <c r="A103" s="19"/>
      <c r="B103" s="9"/>
      <c r="C103" s="19"/>
      <c r="D103" s="9"/>
      <c r="E103" s="19"/>
      <c r="F103" s="9"/>
      <c r="G103" s="19"/>
      <c r="H103" s="9"/>
      <c r="I103" s="19"/>
      <c r="J103" s="9"/>
      <c r="K103" s="19"/>
      <c r="L103" s="9"/>
      <c r="M103" s="19"/>
      <c r="N103" s="8"/>
    </row>
    <row r="104" spans="1:14">
      <c r="A104" s="19"/>
      <c r="B104" s="9"/>
      <c r="C104" s="19"/>
      <c r="D104" s="9"/>
      <c r="E104" s="19"/>
      <c r="F104" s="9"/>
      <c r="G104" s="19"/>
      <c r="H104" s="9"/>
      <c r="I104" s="19"/>
      <c r="J104" s="9"/>
      <c r="K104" s="19"/>
      <c r="L104" s="9"/>
      <c r="M104" s="19"/>
      <c r="N104" s="8"/>
    </row>
    <row r="105" spans="1:14">
      <c r="A105" s="20"/>
      <c r="B105" s="11"/>
      <c r="C105" s="20"/>
      <c r="D105" s="11"/>
      <c r="E105" s="20"/>
      <c r="F105" s="11"/>
      <c r="G105" s="20"/>
      <c r="H105" s="11"/>
      <c r="I105" s="20"/>
      <c r="J105" s="11"/>
      <c r="K105" s="20"/>
      <c r="L105" s="11"/>
      <c r="M105" s="20"/>
      <c r="N105" s="18"/>
    </row>
    <row r="106" spans="1:14">
      <c r="A106" s="19"/>
      <c r="B106" s="9"/>
      <c r="C106" s="19"/>
      <c r="D106" s="9"/>
      <c r="E106" s="19"/>
      <c r="F106" s="9"/>
      <c r="G106" s="19"/>
      <c r="H106" s="9"/>
      <c r="I106" s="19"/>
      <c r="J106" s="9"/>
      <c r="K106" s="19"/>
      <c r="L106" s="9"/>
      <c r="M106" s="19"/>
      <c r="N106" s="8"/>
    </row>
    <row r="107" spans="1:14">
      <c r="A107" s="20"/>
      <c r="B107" s="11"/>
      <c r="C107" s="20"/>
      <c r="D107" s="11"/>
      <c r="E107" s="20"/>
      <c r="F107" s="11"/>
      <c r="G107" s="20"/>
      <c r="H107" s="11"/>
      <c r="I107" s="20"/>
      <c r="J107" s="11"/>
      <c r="K107" s="20"/>
      <c r="L107" s="11"/>
      <c r="M107" s="20"/>
      <c r="N107" s="18"/>
    </row>
    <row r="108" spans="1:14">
      <c r="A108" s="19"/>
      <c r="B108" s="9"/>
      <c r="C108" s="19"/>
      <c r="D108" s="9"/>
      <c r="E108" s="19"/>
      <c r="F108" s="9"/>
      <c r="G108" s="19"/>
      <c r="H108" s="9"/>
      <c r="I108" s="19"/>
      <c r="J108" s="9"/>
      <c r="K108" s="19"/>
      <c r="L108" s="9"/>
      <c r="M108" s="19"/>
      <c r="N108" s="8"/>
    </row>
    <row r="109" spans="1:14">
      <c r="A109" s="20"/>
      <c r="B109" s="11"/>
      <c r="C109" s="20"/>
      <c r="D109" s="11"/>
      <c r="E109" s="20"/>
      <c r="F109" s="11"/>
      <c r="G109" s="20"/>
      <c r="H109" s="11"/>
      <c r="I109" s="20"/>
      <c r="J109" s="11"/>
      <c r="K109" s="20"/>
      <c r="L109" s="11"/>
      <c r="M109" s="20"/>
      <c r="N109" s="18"/>
    </row>
    <row r="110" spans="1:14">
      <c r="A110" s="20"/>
      <c r="B110" s="11"/>
      <c r="C110" s="20"/>
      <c r="D110" s="11"/>
      <c r="E110" s="20"/>
      <c r="F110" s="11"/>
      <c r="G110" s="20"/>
      <c r="H110" s="11"/>
      <c r="I110" s="20"/>
      <c r="J110" s="11"/>
      <c r="K110" s="20"/>
      <c r="L110" s="11"/>
      <c r="M110" s="20"/>
      <c r="N110" s="18"/>
    </row>
    <row r="111" spans="1:14">
      <c r="A111" s="20"/>
      <c r="B111" s="11"/>
      <c r="C111" s="20"/>
      <c r="D111" s="11"/>
      <c r="E111" s="20"/>
      <c r="F111" s="11"/>
      <c r="G111" s="20"/>
      <c r="H111" s="11"/>
      <c r="I111" s="20"/>
      <c r="J111" s="11"/>
      <c r="K111" s="20"/>
      <c r="L111" s="11"/>
      <c r="M111" s="20"/>
      <c r="N111" s="18"/>
    </row>
    <row r="112" spans="1:14">
      <c r="A112" s="20"/>
      <c r="B112" s="11"/>
      <c r="C112" s="20"/>
      <c r="D112" s="11"/>
      <c r="E112" s="20"/>
      <c r="F112" s="11"/>
      <c r="G112" s="20"/>
      <c r="H112" s="11"/>
      <c r="I112" s="20"/>
      <c r="J112" s="11"/>
      <c r="K112" s="20"/>
      <c r="L112" s="11"/>
      <c r="M112" s="20"/>
      <c r="N112" s="18"/>
    </row>
    <row r="113" spans="1:14">
      <c r="A113" s="20"/>
      <c r="B113" s="11"/>
      <c r="C113" s="20"/>
      <c r="D113" s="11"/>
      <c r="E113" s="20"/>
      <c r="F113" s="11"/>
      <c r="G113" s="20"/>
      <c r="H113" s="11"/>
      <c r="I113" s="20"/>
      <c r="J113" s="11"/>
      <c r="K113" s="20"/>
      <c r="L113" s="11"/>
      <c r="M113" s="20"/>
      <c r="N113" s="18"/>
    </row>
    <row r="114" spans="1:14">
      <c r="A114" s="20"/>
      <c r="B114" s="11"/>
      <c r="C114" s="20"/>
      <c r="D114" s="11"/>
      <c r="E114" s="20"/>
      <c r="F114" s="11"/>
      <c r="G114" s="20"/>
      <c r="H114" s="11"/>
      <c r="I114" s="20"/>
      <c r="J114" s="11"/>
      <c r="K114" s="20"/>
      <c r="L114" s="11"/>
      <c r="M114" s="20"/>
      <c r="N114" s="18"/>
    </row>
    <row r="115" spans="1:14">
      <c r="A115" s="19"/>
      <c r="B115" s="9"/>
      <c r="C115" s="19"/>
      <c r="D115" s="9"/>
      <c r="E115" s="19"/>
      <c r="F115" s="9"/>
      <c r="G115" s="19"/>
      <c r="H115" s="9"/>
      <c r="I115" s="19"/>
      <c r="J115" s="9"/>
      <c r="K115" s="19"/>
      <c r="L115" s="9"/>
      <c r="M115" s="19"/>
      <c r="N115" s="8"/>
    </row>
    <row r="116" spans="1:14">
      <c r="A116" s="19"/>
      <c r="B116" s="9"/>
      <c r="C116" s="19"/>
      <c r="D116" s="9"/>
      <c r="E116" s="19"/>
      <c r="F116" s="9"/>
      <c r="G116" s="19"/>
      <c r="H116" s="9"/>
      <c r="I116" s="19"/>
      <c r="J116" s="9"/>
      <c r="K116" s="19"/>
      <c r="L116" s="9"/>
      <c r="M116" s="19"/>
      <c r="N116" s="8"/>
    </row>
    <row r="117" spans="1:14">
      <c r="A117" s="19"/>
      <c r="B117" s="9"/>
      <c r="C117" s="19"/>
      <c r="D117" s="9"/>
      <c r="E117" s="19"/>
      <c r="F117" s="9"/>
      <c r="G117" s="19"/>
      <c r="H117" s="9"/>
      <c r="I117" s="19"/>
      <c r="J117" s="9"/>
      <c r="K117" s="19"/>
      <c r="L117" s="9"/>
      <c r="M117" s="19"/>
      <c r="N117" s="8"/>
    </row>
    <row r="118" spans="1:14">
      <c r="A118" s="19"/>
      <c r="B118" s="9"/>
      <c r="C118" s="19"/>
      <c r="D118" s="9"/>
      <c r="E118" s="19"/>
      <c r="F118" s="9"/>
      <c r="G118" s="19"/>
      <c r="H118" s="9"/>
      <c r="I118" s="19"/>
      <c r="J118" s="9"/>
      <c r="K118" s="19"/>
      <c r="L118" s="9"/>
      <c r="M118" s="19"/>
      <c r="N118" s="8"/>
    </row>
    <row r="119" spans="1:14">
      <c r="A119" s="19"/>
      <c r="B119" s="9"/>
      <c r="C119" s="19"/>
      <c r="D119" s="9"/>
      <c r="E119" s="19"/>
      <c r="F119" s="9"/>
      <c r="G119" s="19"/>
      <c r="H119" s="9"/>
      <c r="I119" s="19"/>
      <c r="J119" s="9"/>
      <c r="K119" s="19"/>
      <c r="L119" s="9"/>
      <c r="M119" s="19"/>
      <c r="N119" s="8"/>
    </row>
    <row r="120" spans="1:14">
      <c r="A120" s="19"/>
      <c r="B120" s="9"/>
      <c r="C120" s="19"/>
      <c r="D120" s="9"/>
      <c r="E120" s="19"/>
      <c r="F120" s="9"/>
      <c r="G120" s="19"/>
      <c r="H120" s="9"/>
      <c r="I120" s="19"/>
      <c r="J120" s="9"/>
      <c r="K120" s="19"/>
      <c r="L120" s="9"/>
      <c r="M120" s="19"/>
      <c r="N120" s="8"/>
    </row>
    <row r="121" spans="1:14">
      <c r="A121" s="19"/>
      <c r="B121" s="9"/>
      <c r="C121" s="19"/>
      <c r="D121" s="9"/>
      <c r="E121" s="19"/>
      <c r="F121" s="9"/>
      <c r="G121" s="19"/>
      <c r="H121" s="9"/>
      <c r="I121" s="19"/>
      <c r="J121" s="9"/>
      <c r="K121" s="19"/>
      <c r="L121" s="9"/>
      <c r="M121" s="19"/>
      <c r="N121" s="8"/>
    </row>
    <row r="122" spans="1:14">
      <c r="A122" s="19"/>
      <c r="B122" s="9"/>
      <c r="C122" s="19"/>
      <c r="D122" s="9"/>
      <c r="E122" s="19"/>
      <c r="F122" s="9"/>
      <c r="G122" s="19"/>
      <c r="H122" s="9"/>
      <c r="I122" s="19"/>
      <c r="J122" s="9"/>
      <c r="K122" s="19"/>
      <c r="L122" s="9"/>
      <c r="M122" s="19"/>
      <c r="N122" s="8"/>
    </row>
    <row r="123" spans="1:14">
      <c r="A123" s="19"/>
      <c r="B123" s="9"/>
      <c r="C123" s="19"/>
      <c r="D123" s="9"/>
      <c r="E123" s="19"/>
      <c r="F123" s="9"/>
      <c r="G123" s="19"/>
      <c r="H123" s="9"/>
      <c r="I123" s="19"/>
      <c r="J123" s="9"/>
      <c r="K123" s="19"/>
      <c r="L123" s="9"/>
      <c r="M123" s="19"/>
      <c r="N123" s="8"/>
    </row>
    <row r="124" spans="1:14">
      <c r="A124" s="19"/>
      <c r="B124" s="9"/>
      <c r="C124" s="19"/>
      <c r="D124" s="9"/>
      <c r="E124" s="19"/>
      <c r="F124" s="9"/>
      <c r="G124" s="19"/>
      <c r="H124" s="9"/>
      <c r="I124" s="19"/>
      <c r="J124" s="9"/>
      <c r="K124" s="19"/>
      <c r="L124" s="9"/>
      <c r="M124" s="19"/>
      <c r="N124" s="8"/>
    </row>
    <row r="125" spans="1:14">
      <c r="A125" s="19"/>
      <c r="B125" s="9"/>
      <c r="C125" s="19"/>
      <c r="D125" s="9"/>
      <c r="E125" s="19"/>
      <c r="F125" s="9"/>
      <c r="G125" s="19"/>
      <c r="H125" s="9"/>
      <c r="I125" s="19"/>
      <c r="J125" s="9"/>
      <c r="K125" s="19"/>
      <c r="L125" s="9"/>
      <c r="M125" s="19"/>
      <c r="N125" s="8"/>
    </row>
    <row r="126" spans="1:14">
      <c r="A126" s="19"/>
      <c r="B126" s="9"/>
      <c r="C126" s="19"/>
      <c r="D126" s="9"/>
      <c r="E126" s="19"/>
      <c r="F126" s="9"/>
      <c r="G126" s="19"/>
      <c r="H126" s="9"/>
      <c r="I126" s="19"/>
      <c r="J126" s="9"/>
      <c r="K126" s="19"/>
      <c r="L126" s="9"/>
      <c r="M126" s="19"/>
      <c r="N126" s="8"/>
    </row>
    <row r="127" spans="1:14">
      <c r="A127" s="19"/>
      <c r="B127" s="9"/>
      <c r="C127" s="19"/>
      <c r="D127" s="9"/>
      <c r="E127" s="19"/>
      <c r="F127" s="9"/>
      <c r="G127" s="19"/>
      <c r="H127" s="9"/>
      <c r="I127" s="19"/>
      <c r="J127" s="9"/>
      <c r="K127" s="19"/>
      <c r="L127" s="9"/>
      <c r="M127" s="19"/>
      <c r="N127" s="8"/>
    </row>
    <row r="128" spans="1:14">
      <c r="A128" s="19"/>
      <c r="B128" s="9"/>
      <c r="C128" s="19"/>
      <c r="D128" s="9"/>
      <c r="E128" s="19"/>
      <c r="F128" s="9"/>
      <c r="G128" s="19"/>
      <c r="H128" s="9"/>
      <c r="I128" s="19"/>
      <c r="J128" s="9"/>
      <c r="K128" s="19"/>
      <c r="L128" s="9"/>
      <c r="M128" s="19"/>
      <c r="N128" s="8"/>
    </row>
    <row r="129" spans="1:14">
      <c r="A129" s="19"/>
      <c r="B129" s="9"/>
      <c r="C129" s="19"/>
      <c r="D129" s="9"/>
      <c r="E129" s="19"/>
      <c r="F129" s="9"/>
      <c r="G129" s="19"/>
      <c r="H129" s="9"/>
      <c r="I129" s="19"/>
      <c r="J129" s="9"/>
      <c r="K129" s="19"/>
      <c r="L129" s="9"/>
      <c r="M129" s="19"/>
      <c r="N129" s="8"/>
    </row>
    <row r="130" spans="1:14">
      <c r="A130" s="19"/>
      <c r="B130" s="9"/>
      <c r="C130" s="19"/>
      <c r="D130" s="9"/>
      <c r="E130" s="19"/>
      <c r="F130" s="9"/>
      <c r="G130" s="19"/>
      <c r="H130" s="9"/>
      <c r="I130" s="19"/>
      <c r="J130" s="9"/>
      <c r="K130" s="19"/>
      <c r="L130" s="9"/>
      <c r="M130" s="19"/>
      <c r="N130" s="8"/>
    </row>
    <row r="131" spans="1:14">
      <c r="A131" s="19"/>
      <c r="B131" s="9"/>
      <c r="C131" s="19"/>
      <c r="D131" s="9"/>
      <c r="E131" s="19"/>
      <c r="F131" s="9"/>
      <c r="G131" s="19"/>
      <c r="H131" s="9"/>
      <c r="I131" s="19"/>
      <c r="J131" s="9"/>
      <c r="K131" s="19"/>
      <c r="L131" s="9"/>
      <c r="M131" s="19"/>
      <c r="N131" s="8"/>
    </row>
    <row r="132" spans="1:14">
      <c r="A132" s="19"/>
      <c r="B132" s="9"/>
      <c r="C132" s="19"/>
      <c r="D132" s="9"/>
      <c r="E132" s="19"/>
      <c r="F132" s="9"/>
      <c r="G132" s="19"/>
      <c r="H132" s="9"/>
      <c r="I132" s="19"/>
      <c r="J132" s="9"/>
      <c r="K132" s="19"/>
      <c r="L132" s="9"/>
      <c r="M132" s="19"/>
      <c r="N132" s="8"/>
    </row>
    <row r="133" spans="1:14">
      <c r="A133" s="19"/>
      <c r="B133" s="9"/>
      <c r="C133" s="19"/>
      <c r="D133" s="9"/>
      <c r="E133" s="19"/>
      <c r="F133" s="9"/>
      <c r="G133" s="19"/>
      <c r="H133" s="9"/>
      <c r="I133" s="19"/>
      <c r="J133" s="9"/>
      <c r="K133" s="19"/>
      <c r="L133" s="9"/>
      <c r="M133" s="19"/>
      <c r="N133" s="8"/>
    </row>
    <row r="134" spans="1:14">
      <c r="A134" s="19"/>
      <c r="B134" s="9"/>
      <c r="C134" s="19"/>
      <c r="D134" s="9"/>
      <c r="E134" s="19"/>
      <c r="F134" s="9"/>
      <c r="G134" s="19"/>
      <c r="H134" s="9"/>
      <c r="I134" s="19"/>
      <c r="J134" s="9"/>
      <c r="K134" s="19"/>
      <c r="L134" s="9"/>
      <c r="M134" s="19"/>
      <c r="N134" s="8"/>
    </row>
    <row r="135" spans="1:14">
      <c r="A135" s="19"/>
      <c r="B135" s="9"/>
      <c r="C135" s="19"/>
      <c r="D135" s="9"/>
      <c r="E135" s="19"/>
      <c r="F135" s="9"/>
      <c r="G135" s="19"/>
      <c r="H135" s="9"/>
      <c r="I135" s="19"/>
      <c r="J135" s="9"/>
      <c r="K135" s="19"/>
      <c r="L135" s="9"/>
      <c r="M135" s="19"/>
      <c r="N135" s="8"/>
    </row>
    <row r="136" spans="1:14" ht="24" customHeight="1">
      <c r="A136" s="19"/>
      <c r="B136" s="9"/>
      <c r="C136" s="19"/>
      <c r="D136" s="9"/>
      <c r="E136" s="19"/>
      <c r="F136" s="9"/>
      <c r="G136" s="19"/>
      <c r="H136" s="9"/>
      <c r="I136" s="19"/>
      <c r="J136" s="9"/>
      <c r="K136" s="19"/>
      <c r="L136" s="9"/>
      <c r="M136" s="19"/>
      <c r="N136" s="8"/>
    </row>
    <row r="137" spans="1:14">
      <c r="A137" s="19"/>
      <c r="B137" s="9"/>
      <c r="C137" s="19"/>
      <c r="D137" s="9"/>
      <c r="E137" s="19"/>
      <c r="F137" s="9"/>
      <c r="G137" s="19"/>
      <c r="H137" s="9"/>
      <c r="I137" s="19"/>
      <c r="J137" s="9"/>
      <c r="K137" s="19"/>
      <c r="L137" s="9"/>
      <c r="M137" s="19"/>
      <c r="N137" s="8"/>
    </row>
    <row r="138" spans="1:14">
      <c r="B138" s="21"/>
      <c r="D138" s="21"/>
      <c r="F138" s="21"/>
      <c r="H138" s="21"/>
      <c r="J138" s="21"/>
      <c r="L138" s="21"/>
      <c r="N138" s="22"/>
    </row>
    <row r="139" spans="1:14" ht="18" customHeight="1">
      <c r="A139" s="8"/>
      <c r="B139" s="9"/>
      <c r="C139" s="8"/>
      <c r="D139" s="21"/>
      <c r="F139" s="21"/>
      <c r="H139" s="21"/>
      <c r="J139" s="21"/>
      <c r="L139" s="21"/>
      <c r="N139" s="22"/>
    </row>
    <row r="140" spans="1:14">
      <c r="A140" s="23"/>
      <c r="B140" s="3"/>
      <c r="C140" s="23"/>
      <c r="D140" s="3"/>
      <c r="E140" s="23"/>
      <c r="F140" s="3"/>
      <c r="G140" s="23"/>
      <c r="H140" s="3"/>
      <c r="I140" s="23"/>
      <c r="J140" s="3"/>
      <c r="K140" s="23"/>
      <c r="L140" s="3"/>
      <c r="M140" s="23"/>
      <c r="N140" s="24"/>
    </row>
    <row r="141" spans="1:14">
      <c r="B141" s="21"/>
      <c r="D141" s="21"/>
      <c r="F141" s="21"/>
      <c r="H141" s="21"/>
      <c r="J141" s="21"/>
      <c r="L141" s="21"/>
      <c r="N141" s="22"/>
    </row>
    <row r="142" spans="1:14">
      <c r="B142" s="21"/>
      <c r="D142" s="21"/>
      <c r="F142" s="21"/>
      <c r="H142" s="21"/>
      <c r="J142" s="21"/>
      <c r="L142" s="21"/>
      <c r="N142" s="22"/>
    </row>
    <row r="143" spans="1:14">
      <c r="B143" s="21"/>
      <c r="D143" s="21"/>
      <c r="F143" s="21"/>
      <c r="H143" s="21"/>
      <c r="J143" s="21"/>
      <c r="L143" s="21"/>
      <c r="N143" s="22"/>
    </row>
    <row r="144" spans="1:14">
      <c r="B144" s="21"/>
      <c r="D144" s="21"/>
      <c r="F144" s="21"/>
      <c r="H144" s="21"/>
      <c r="J144" s="21"/>
      <c r="L144" s="21"/>
      <c r="N144" s="22"/>
    </row>
    <row r="145" spans="1:14">
      <c r="B145" s="21"/>
      <c r="D145" s="21"/>
      <c r="F145" s="21"/>
      <c r="H145" s="21"/>
      <c r="J145" s="21"/>
      <c r="L145" s="21"/>
      <c r="N145" s="22"/>
    </row>
    <row r="146" spans="1:14">
      <c r="A146" s="23"/>
      <c r="B146" s="3"/>
      <c r="C146" s="23"/>
      <c r="D146" s="3"/>
      <c r="E146" s="23"/>
      <c r="F146" s="3"/>
      <c r="G146" s="23"/>
      <c r="H146" s="3"/>
      <c r="I146" s="23"/>
      <c r="J146" s="3"/>
      <c r="K146" s="23"/>
      <c r="L146" s="3"/>
      <c r="M146" s="23"/>
      <c r="N146" s="24"/>
    </row>
    <row r="147" spans="1:14">
      <c r="B147" s="21"/>
      <c r="D147" s="21"/>
      <c r="F147" s="21"/>
      <c r="H147" s="21"/>
      <c r="J147" s="21"/>
      <c r="L147" s="21"/>
      <c r="N147" s="22"/>
    </row>
    <row r="148" spans="1:14">
      <c r="B148" s="21"/>
      <c r="D148" s="21"/>
      <c r="F148" s="21"/>
      <c r="H148" s="21"/>
      <c r="J148" s="21"/>
      <c r="L148" s="21"/>
      <c r="N148" s="22"/>
    </row>
    <row r="149" spans="1:14">
      <c r="B149" s="21"/>
      <c r="D149" s="21"/>
      <c r="F149" s="21"/>
      <c r="H149" s="21"/>
      <c r="J149" s="21"/>
      <c r="L149" s="21"/>
      <c r="N149" s="22"/>
    </row>
    <row r="150" spans="1:14">
      <c r="B150" s="21"/>
      <c r="D150" s="21"/>
      <c r="F150" s="21"/>
      <c r="H150" s="21"/>
      <c r="J150" s="21"/>
      <c r="L150" s="21"/>
      <c r="N150" s="22"/>
    </row>
    <row r="151" spans="1:14">
      <c r="B151" s="21"/>
      <c r="D151" s="21"/>
      <c r="F151" s="21"/>
      <c r="H151" s="21"/>
      <c r="J151" s="21"/>
      <c r="L151" s="21"/>
      <c r="N151" s="22"/>
    </row>
    <row r="152" spans="1:14">
      <c r="B152" s="21"/>
      <c r="D152" s="21"/>
      <c r="F152" s="21"/>
      <c r="H152" s="21"/>
      <c r="J152" s="21"/>
      <c r="L152" s="21"/>
      <c r="N152" s="22"/>
    </row>
    <row r="153" spans="1:14">
      <c r="B153" s="21"/>
      <c r="D153" s="21"/>
      <c r="F153" s="21"/>
      <c r="H153" s="21"/>
      <c r="J153" s="21"/>
      <c r="L153" s="21"/>
      <c r="N153" s="22"/>
    </row>
    <row r="154" spans="1:14">
      <c r="B154" s="21"/>
      <c r="D154" s="21"/>
      <c r="F154" s="21"/>
      <c r="H154" s="21"/>
      <c r="J154" s="21"/>
      <c r="L154" s="21"/>
      <c r="N154" s="22"/>
    </row>
    <row r="155" spans="1:14">
      <c r="B155" s="21"/>
      <c r="D155" s="21"/>
      <c r="F155" s="21"/>
      <c r="H155" s="21"/>
      <c r="J155" s="21"/>
      <c r="L155" s="21"/>
      <c r="N155" s="22"/>
    </row>
    <row r="156" spans="1:14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</row>
    <row r="157" spans="1:14">
      <c r="B157" s="21"/>
      <c r="D157" s="21"/>
      <c r="F157" s="21"/>
      <c r="H157" s="21"/>
      <c r="J157" s="21"/>
      <c r="L157" s="21"/>
      <c r="N157" s="22"/>
    </row>
    <row r="158" spans="1:14">
      <c r="B158" s="21"/>
      <c r="D158" s="21"/>
      <c r="F158" s="21"/>
      <c r="H158" s="21"/>
      <c r="J158" s="21"/>
      <c r="L158" s="21"/>
      <c r="N158" s="22"/>
    </row>
    <row r="159" spans="1:14">
      <c r="B159" s="21"/>
      <c r="D159" s="21"/>
      <c r="F159" s="21"/>
      <c r="H159" s="21"/>
      <c r="J159" s="21"/>
      <c r="L159" s="21"/>
      <c r="N159" s="22"/>
    </row>
    <row r="160" spans="1:14">
      <c r="B160" s="21"/>
      <c r="D160" s="21"/>
      <c r="F160" s="21"/>
      <c r="H160" s="21"/>
      <c r="J160" s="21"/>
      <c r="L160" s="21"/>
      <c r="N160" s="22"/>
    </row>
    <row r="161" spans="1:14">
      <c r="B161" s="21"/>
      <c r="D161" s="21"/>
      <c r="F161" s="21"/>
      <c r="H161" s="21"/>
      <c r="J161" s="21"/>
      <c r="L161" s="21"/>
      <c r="N161" s="22"/>
    </row>
    <row r="162" spans="1:14">
      <c r="B162" s="21"/>
      <c r="D162" s="21"/>
      <c r="F162" s="21"/>
      <c r="H162" s="21"/>
      <c r="J162" s="21"/>
      <c r="L162" s="21"/>
      <c r="N162" s="22"/>
    </row>
    <row r="163" spans="1:14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</row>
    <row r="164" spans="1:14">
      <c r="B164" s="21"/>
      <c r="D164" s="21"/>
      <c r="F164" s="21"/>
      <c r="H164" s="21"/>
      <c r="J164" s="21"/>
      <c r="L164" s="21"/>
      <c r="N164" s="22"/>
    </row>
    <row r="165" spans="1:14">
      <c r="B165" s="21"/>
      <c r="D165" s="21"/>
      <c r="F165" s="21"/>
      <c r="H165" s="21"/>
      <c r="J165" s="21"/>
      <c r="L165" s="21"/>
      <c r="N165" s="22"/>
    </row>
    <row r="166" spans="1:14">
      <c r="B166" s="21"/>
      <c r="D166" s="21"/>
      <c r="F166" s="21"/>
      <c r="H166" s="21"/>
      <c r="J166" s="21"/>
      <c r="L166" s="21"/>
      <c r="N166" s="22"/>
    </row>
    <row r="167" spans="1:14">
      <c r="B167" s="21"/>
      <c r="D167" s="21"/>
      <c r="F167" s="21"/>
      <c r="H167" s="21"/>
      <c r="J167" s="21"/>
      <c r="L167" s="21"/>
      <c r="N167" s="22"/>
    </row>
    <row r="168" spans="1:14">
      <c r="B168" s="21"/>
      <c r="D168" s="21"/>
      <c r="F168" s="21"/>
      <c r="H168" s="21"/>
      <c r="J168" s="21"/>
      <c r="L168" s="21"/>
      <c r="N168" s="22"/>
    </row>
    <row r="169" spans="1:14">
      <c r="B169" s="21"/>
      <c r="D169" s="21"/>
      <c r="F169" s="21"/>
      <c r="H169" s="21"/>
      <c r="J169" s="21"/>
      <c r="L169" s="21"/>
      <c r="N169" s="22"/>
    </row>
    <row r="170" spans="1:14">
      <c r="B170" s="21"/>
      <c r="D170" s="21"/>
      <c r="F170" s="21"/>
      <c r="H170" s="21"/>
      <c r="J170" s="21"/>
      <c r="L170" s="21"/>
      <c r="N170" s="22"/>
    </row>
    <row r="171" spans="1:14">
      <c r="B171" s="21"/>
      <c r="D171" s="21"/>
      <c r="F171" s="21"/>
      <c r="H171" s="21"/>
      <c r="J171" s="21"/>
      <c r="L171" s="21"/>
    </row>
    <row r="172" spans="1:14">
      <c r="B172" s="21"/>
      <c r="D172" s="21"/>
      <c r="F172" s="21"/>
      <c r="H172" s="21"/>
      <c r="J172" s="21"/>
      <c r="L172" s="21"/>
    </row>
    <row r="173" spans="1:14">
      <c r="B173" s="21"/>
      <c r="D173" s="21"/>
      <c r="F173" s="21"/>
      <c r="H173" s="21"/>
      <c r="J173" s="21"/>
      <c r="L173" s="21"/>
    </row>
    <row r="174" spans="1:14">
      <c r="B174" s="21"/>
      <c r="D174" s="21"/>
      <c r="F174" s="21"/>
      <c r="H174" s="21"/>
      <c r="J174" s="21"/>
      <c r="L174" s="21"/>
    </row>
    <row r="175" spans="1:14">
      <c r="B175" s="21"/>
      <c r="D175" s="21"/>
      <c r="F175" s="21"/>
      <c r="H175" s="21"/>
      <c r="J175" s="21"/>
      <c r="L175" s="21"/>
    </row>
    <row r="176" spans="1:14">
      <c r="B176" s="21"/>
      <c r="D176" s="21"/>
      <c r="F176" s="21"/>
      <c r="H176" s="21"/>
      <c r="J176" s="21"/>
      <c r="L176" s="21"/>
    </row>
    <row r="177" spans="2:12">
      <c r="B177" s="21"/>
      <c r="D177" s="21"/>
      <c r="F177" s="21"/>
      <c r="H177" s="21"/>
      <c r="J177" s="21"/>
      <c r="L177" s="21"/>
    </row>
    <row r="178" spans="2:12">
      <c r="B178" s="21"/>
      <c r="D178" s="21"/>
      <c r="F178" s="21"/>
      <c r="H178" s="21"/>
      <c r="J178" s="21"/>
      <c r="L178" s="21"/>
    </row>
    <row r="179" spans="2:12">
      <c r="B179" s="21"/>
      <c r="D179" s="21"/>
      <c r="F179" s="21"/>
      <c r="H179" s="21"/>
      <c r="J179" s="21"/>
      <c r="L179" s="21"/>
    </row>
    <row r="180" spans="2:12">
      <c r="B180" s="21"/>
      <c r="D180" s="21"/>
      <c r="F180" s="21"/>
      <c r="H180" s="21"/>
      <c r="J180" s="21"/>
      <c r="L180" s="21"/>
    </row>
    <row r="181" spans="2:12">
      <c r="B181" s="21"/>
      <c r="D181" s="21"/>
      <c r="F181" s="21"/>
      <c r="H181" s="21"/>
      <c r="J181" s="21"/>
      <c r="L181" s="21"/>
    </row>
    <row r="182" spans="2:12">
      <c r="B182" s="21"/>
      <c r="D182" s="21"/>
      <c r="F182" s="21"/>
      <c r="H182" s="21"/>
      <c r="J182" s="21"/>
      <c r="L182" s="21"/>
    </row>
    <row r="183" spans="2:12">
      <c r="B183" s="21"/>
      <c r="D183" s="21"/>
      <c r="F183" s="21"/>
      <c r="H183" s="21"/>
      <c r="J183" s="21"/>
      <c r="L183" s="21"/>
    </row>
    <row r="184" spans="2:12">
      <c r="B184" s="21"/>
      <c r="D184" s="21"/>
      <c r="F184" s="21"/>
      <c r="H184" s="21"/>
      <c r="J184" s="21"/>
      <c r="L184" s="21"/>
    </row>
    <row r="185" spans="2:12">
      <c r="B185" s="21"/>
      <c r="D185" s="21"/>
      <c r="F185" s="21"/>
      <c r="H185" s="21"/>
      <c r="J185" s="21"/>
      <c r="L185" s="21"/>
    </row>
    <row r="186" spans="2:12">
      <c r="B186" s="21"/>
      <c r="D186" s="21"/>
      <c r="F186" s="21"/>
      <c r="H186" s="21"/>
      <c r="J186" s="21"/>
      <c r="L186" s="21"/>
    </row>
    <row r="187" spans="2:12">
      <c r="B187" s="21"/>
      <c r="D187" s="21"/>
      <c r="F187" s="21"/>
      <c r="H187" s="21"/>
      <c r="J187" s="21"/>
      <c r="L187" s="21"/>
    </row>
    <row r="188" spans="2:12">
      <c r="B188" s="21"/>
      <c r="D188" s="21"/>
      <c r="F188" s="21"/>
      <c r="H188" s="21"/>
      <c r="J188" s="21"/>
      <c r="L188" s="21"/>
    </row>
    <row r="189" spans="2:12">
      <c r="B189" s="21"/>
      <c r="D189" s="21"/>
      <c r="F189" s="21"/>
      <c r="H189" s="21"/>
      <c r="J189" s="21"/>
      <c r="L189" s="21"/>
    </row>
    <row r="190" spans="2:12">
      <c r="B190" s="21"/>
      <c r="D190" s="21"/>
      <c r="F190" s="21"/>
      <c r="H190" s="21"/>
      <c r="J190" s="21"/>
      <c r="L190" s="21"/>
    </row>
    <row r="191" spans="2:12">
      <c r="B191" s="21"/>
      <c r="D191" s="21"/>
      <c r="F191" s="21"/>
      <c r="H191" s="21"/>
      <c r="J191" s="21"/>
      <c r="L191" s="21"/>
    </row>
    <row r="192" spans="2:12">
      <c r="B192" s="21"/>
      <c r="D192" s="21"/>
      <c r="F192" s="21"/>
      <c r="H192" s="21"/>
      <c r="J192" s="21"/>
      <c r="L192" s="21"/>
    </row>
    <row r="193" spans="2:12">
      <c r="B193" s="21"/>
      <c r="D193" s="21"/>
      <c r="F193" s="21"/>
      <c r="H193" s="21"/>
      <c r="J193" s="21"/>
      <c r="L193" s="21"/>
    </row>
    <row r="194" spans="2:12">
      <c r="B194" s="21"/>
      <c r="D194" s="21"/>
      <c r="F194" s="21"/>
      <c r="H194" s="21"/>
      <c r="J194" s="21"/>
      <c r="L194" s="21"/>
    </row>
    <row r="195" spans="2:12">
      <c r="B195" s="21"/>
      <c r="D195" s="21"/>
      <c r="F195" s="21"/>
      <c r="H195" s="21"/>
      <c r="J195" s="21"/>
      <c r="L195" s="21"/>
    </row>
    <row r="196" spans="2:12">
      <c r="B196" s="21"/>
      <c r="D196" s="21"/>
      <c r="F196" s="21"/>
      <c r="H196" s="21"/>
      <c r="J196" s="21"/>
      <c r="L196" s="21"/>
    </row>
    <row r="197" spans="2:12">
      <c r="B197" s="21"/>
      <c r="D197" s="21"/>
      <c r="F197" s="21"/>
      <c r="H197" s="21"/>
      <c r="J197" s="21"/>
      <c r="L197" s="21"/>
    </row>
    <row r="198" spans="2:12">
      <c r="B198" s="21"/>
      <c r="D198" s="21"/>
      <c r="F198" s="21"/>
      <c r="H198" s="21"/>
      <c r="J198" s="21"/>
      <c r="L198" s="21"/>
    </row>
    <row r="199" spans="2:12">
      <c r="B199" s="21"/>
      <c r="D199" s="21"/>
      <c r="F199" s="21"/>
      <c r="H199" s="21"/>
      <c r="J199" s="21"/>
      <c r="L199" s="21"/>
    </row>
    <row r="200" spans="2:12">
      <c r="B200" s="21"/>
      <c r="D200" s="21"/>
      <c r="F200" s="21"/>
      <c r="H200" s="21"/>
      <c r="J200" s="21"/>
      <c r="L200" s="21"/>
    </row>
    <row r="201" spans="2:12">
      <c r="B201" s="21"/>
      <c r="D201" s="21"/>
      <c r="F201" s="21"/>
      <c r="H201" s="21"/>
      <c r="J201" s="21"/>
      <c r="L201" s="21"/>
    </row>
    <row r="202" spans="2:12">
      <c r="B202" s="21"/>
      <c r="D202" s="21"/>
      <c r="F202" s="21"/>
      <c r="H202" s="21"/>
      <c r="J202" s="21"/>
      <c r="L202" s="21"/>
    </row>
    <row r="203" spans="2:12">
      <c r="B203" s="21"/>
      <c r="D203" s="21"/>
      <c r="F203" s="21"/>
      <c r="H203" s="21"/>
      <c r="J203" s="21"/>
      <c r="L203" s="21"/>
    </row>
    <row r="204" spans="2:12">
      <c r="B204" s="21"/>
      <c r="D204" s="21"/>
      <c r="F204" s="21"/>
      <c r="H204" s="21"/>
      <c r="J204" s="21"/>
      <c r="L204" s="21"/>
    </row>
    <row r="205" spans="2:12">
      <c r="B205" s="21"/>
      <c r="D205" s="21"/>
      <c r="F205" s="21"/>
      <c r="H205" s="21"/>
      <c r="J205" s="21"/>
      <c r="L205" s="21"/>
    </row>
    <row r="206" spans="2:12">
      <c r="B206" s="21"/>
      <c r="D206" s="21"/>
      <c r="F206" s="21"/>
      <c r="H206" s="21"/>
      <c r="J206" s="21"/>
      <c r="L206" s="21"/>
    </row>
    <row r="207" spans="2:12">
      <c r="B207" s="21"/>
      <c r="D207" s="21"/>
      <c r="F207" s="21"/>
      <c r="H207" s="21"/>
      <c r="J207" s="21"/>
      <c r="L207" s="21"/>
    </row>
    <row r="208" spans="2:12">
      <c r="B208" s="21"/>
      <c r="D208" s="21"/>
      <c r="F208" s="21"/>
      <c r="H208" s="21"/>
      <c r="J208" s="21"/>
      <c r="L208" s="21"/>
    </row>
    <row r="209" spans="2:12">
      <c r="B209" s="21"/>
      <c r="D209" s="21"/>
      <c r="F209" s="21"/>
      <c r="H209" s="21"/>
      <c r="J209" s="21"/>
      <c r="L209" s="21"/>
    </row>
    <row r="210" spans="2:12">
      <c r="B210" s="21"/>
      <c r="D210" s="21"/>
      <c r="F210" s="21"/>
      <c r="H210" s="21"/>
      <c r="J210" s="21"/>
      <c r="L210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6CCB88-5B95-4027-AC1A-1D13DA126B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Template</vt:lpstr>
      <vt:lpstr>icons</vt:lpstr>
      <vt:lpstr>Revision History</vt:lpstr>
      <vt:lpstr>Translation</vt:lpstr>
      <vt:lpstr>Template!Print_Area</vt:lpstr>
    </vt:vector>
  </TitlesOfParts>
  <Company>BFSK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BFSK</dc:creator>
  <cp:lastModifiedBy>Skandrani</cp:lastModifiedBy>
  <cp:lastPrinted>2023-05-11T09:49:40Z</cp:lastPrinted>
  <dcterms:created xsi:type="dcterms:W3CDTF">2011-03-29T09:10:44Z</dcterms:created>
  <dcterms:modified xsi:type="dcterms:W3CDTF">2026-07-10T13:58:59Z</dcterms:modified>
</cp:coreProperties>
</file>